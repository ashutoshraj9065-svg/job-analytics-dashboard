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Excel\"/>
    </mc:Choice>
  </mc:AlternateContent>
  <xr:revisionPtr revIDLastSave="0" documentId="13_ncr:1_{2A85A27D-5FEF-4D46-BECE-D4C2B436D55C}" xr6:coauthVersionLast="47" xr6:coauthVersionMax="47" xr10:uidLastSave="{00000000-0000-0000-0000-000000000000}"/>
  <bookViews>
    <workbookView xWindow="-110" yWindow="-110" windowWidth="19420" windowHeight="10420" activeTab="1" xr2:uid="{00000000-000D-0000-FFFF-FFFF00000000}"/>
  </bookViews>
  <sheets>
    <sheet name="Raw_Data" sheetId="1" r:id="rId1"/>
    <sheet name="Dashboard" sheetId="2" r:id="rId2"/>
    <sheet name="Sheet2" sheetId="3" r:id="rId3"/>
    <sheet name="pivot" sheetId="4" r:id="rId4"/>
  </sheets>
  <definedNames>
    <definedName name="Slicer_Experience">#N/A</definedName>
    <definedName name="Slicer_Location">#N/A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0" i="2" l="1" a="1"/>
  <c r="J30" i="2" s="1"/>
  <c r="H30" i="2" a="1"/>
  <c r="H30" i="2" s="1"/>
  <c r="F30" i="2" a="1"/>
  <c r="F30" i="2" s="1"/>
  <c r="D30" i="2" a="1"/>
  <c r="D30" i="2" s="1"/>
  <c r="U31" i="2" a="1"/>
  <c r="U31" i="2" s="1"/>
  <c r="T31" i="2" a="1"/>
  <c r="T31" i="2" s="1"/>
  <c r="S31" i="2" a="1"/>
  <c r="S31" i="2" s="1"/>
  <c r="R31" i="2" a="1"/>
  <c r="R31" i="2" s="1"/>
  <c r="B5" i="3"/>
  <c r="M8" i="3"/>
  <c r="M7" i="3"/>
  <c r="M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<sst xmlns="http://schemas.openxmlformats.org/spreadsheetml/2006/main" count="4058" uniqueCount="71">
  <si>
    <t>Job_ID</t>
  </si>
  <si>
    <t>Job_Title</t>
  </si>
  <si>
    <t>Company</t>
  </si>
  <si>
    <t>Location</t>
  </si>
  <si>
    <t>Salary</t>
  </si>
  <si>
    <t>Experience</t>
  </si>
  <si>
    <t>Applicants</t>
  </si>
  <si>
    <t>Skills</t>
  </si>
  <si>
    <t>Status</t>
  </si>
  <si>
    <t>Date</t>
  </si>
  <si>
    <t>Frontend Developer</t>
  </si>
  <si>
    <t>Accenture</t>
  </si>
  <si>
    <t>Mumbai</t>
  </si>
  <si>
    <t>6 LPA</t>
  </si>
  <si>
    <t>Fresher</t>
  </si>
  <si>
    <t>React</t>
  </si>
  <si>
    <t>Rejected</t>
  </si>
  <si>
    <t>Jul</t>
  </si>
  <si>
    <t>HR Manager</t>
  </si>
  <si>
    <t>TCS</t>
  </si>
  <si>
    <t>Bangalore</t>
  </si>
  <si>
    <t>8 LPA</t>
  </si>
  <si>
    <t>1-3 yrs</t>
  </si>
  <si>
    <t>SQL</t>
  </si>
  <si>
    <t>Pending</t>
  </si>
  <si>
    <t>Dec</t>
  </si>
  <si>
    <t>Capgemini</t>
  </si>
  <si>
    <t>Pune</t>
  </si>
  <si>
    <t>5 LPA</t>
  </si>
  <si>
    <t>Excel</t>
  </si>
  <si>
    <t>HCL</t>
  </si>
  <si>
    <t>7 LPA</t>
  </si>
  <si>
    <t>3+ yrs</t>
  </si>
  <si>
    <t>Java</t>
  </si>
  <si>
    <t>Mar</t>
  </si>
  <si>
    <t>Software Engineer</t>
  </si>
  <si>
    <t>Delhi</t>
  </si>
  <si>
    <t>10 LPA</t>
  </si>
  <si>
    <t>Python</t>
  </si>
  <si>
    <t>Jan</t>
  </si>
  <si>
    <t>12 LPA</t>
  </si>
  <si>
    <t>Selected</t>
  </si>
  <si>
    <t>Aug</t>
  </si>
  <si>
    <t>Sep</t>
  </si>
  <si>
    <t>Data Analyst</t>
  </si>
  <si>
    <t>Infosys</t>
  </si>
  <si>
    <t>Web Developer</t>
  </si>
  <si>
    <t>Wipro</t>
  </si>
  <si>
    <t>4 LPA</t>
  </si>
  <si>
    <t>Nov</t>
  </si>
  <si>
    <t>Apr</t>
  </si>
  <si>
    <t>Hyderabad</t>
  </si>
  <si>
    <t>Oct</t>
  </si>
  <si>
    <t>NodeJS</t>
  </si>
  <si>
    <t>May</t>
  </si>
  <si>
    <t>3 LPA</t>
  </si>
  <si>
    <t>Feb</t>
  </si>
  <si>
    <t>Jun</t>
  </si>
  <si>
    <t>Backend Developer</t>
  </si>
  <si>
    <t>9 LPA</t>
  </si>
  <si>
    <t>11 LPA</t>
  </si>
  <si>
    <t>B2 → =COUNTA(JobsData[Job_ID])</t>
  </si>
  <si>
    <t>C2 → =SUM(JobsData[Applicants])</t>
  </si>
  <si>
    <t>D2 → =COUNTIF(JobsData[Status],"Selected")</t>
  </si>
  <si>
    <t>E2 → =COUNTIF(JobsData[Status],"Rejected")</t>
  </si>
  <si>
    <t>Row Labels</t>
  </si>
  <si>
    <t>Grand Total</t>
  </si>
  <si>
    <t>Sum of Job_ID</t>
  </si>
  <si>
    <t>Sum of Applicants</t>
  </si>
  <si>
    <t>Count of Job_ID</t>
  </si>
  <si>
    <t>Job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</si>
</sst>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0F172A"/>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0" fontId="0" fillId="0" borderId="0" xfId="0" applyNumberFormat="1"/>
  </cellXfs>
  <cellStyles count="1">
    <cellStyle name="Normal" xfId="0" builtinId="0"/>
  </cellStyles>
  <dxfs count="6">
    <dxf>
      <fill>
        <patternFill>
          <bgColor theme="1"/>
        </patternFill>
      </fill>
    </dxf>
    <dxf>
      <fill>
        <patternFill>
          <bgColor theme="1"/>
        </patternFill>
      </fill>
    </dxf>
    <dxf>
      <fill>
        <patternFill>
          <bgColor theme="1"/>
        </patternFill>
      </fill>
    </dxf>
    <dxf>
      <fill>
        <patternFill>
          <bgColor theme="0"/>
        </patternFill>
      </fill>
    </dxf>
    <dxf>
      <fill>
        <patternFill>
          <bgColor rgb="FF404040"/>
        </patternFill>
      </fill>
    </dxf>
    <dxf>
      <fill>
        <patternFill>
          <bgColor rgb="FF404040"/>
        </patternFill>
      </fill>
    </dxf>
  </dxfs>
  <tableStyles count="5" defaultTableStyle="TableStyleMedium9" defaultPivotStyle="PivotStyleLight16">
    <tableStyle name="Slicer Style 1" pivot="0" table="0" count="1" xr9:uid="{A643CCD5-F96B-4AC2-ACA9-A749EFC28ED9}">
      <tableStyleElement type="wholeTable" dxfId="5"/>
    </tableStyle>
    <tableStyle name="Slicer Style 2" pivot="0" table="0" count="4" xr9:uid="{1DDFFC63-C6F5-4CA2-A6A4-F46C4E07CA48}">
      <tableStyleElement type="wholeTable" dxfId="4"/>
      <tableStyleElement type="headerRow" dxfId="3"/>
    </tableStyle>
    <tableStyle name="Slicer Style 3" pivot="0" table="0" count="1" xr9:uid="{A17D120F-F220-4ED9-80F1-9A425CA0CC0F}">
      <tableStyleElement type="wholeTable" dxfId="2"/>
    </tableStyle>
    <tableStyle name="Slicer Style 4" pivot="0" table="0" count="3" xr9:uid="{C53B9DC9-07F6-4D31-BED8-A82B68A8644B}">
      <tableStyleElement type="wholeTable" dxfId="1"/>
    </tableStyle>
    <tableStyle name="Slicer Style 5" pivot="0" table="0" count="3" xr9:uid="{60A18A8E-23FF-40D2-BE53-D0E37C5161D0}">
      <tableStyleElement type="wholeTable" dxfId="0"/>
    </tableStyle>
  </tableStyles>
  <colors>
    <mruColors>
      <color rgb="FF3B82F6"/>
      <color rgb="FF0F172A"/>
      <color rgb="FF1F4E79"/>
      <color rgb="FF404040"/>
    </mruColors>
  </colors>
  <extLst>
    <ext xmlns:x14="http://schemas.microsoft.com/office/spreadsheetml/2009/9/main" uri="{46F421CA-312F-682f-3DD2-61675219B42D}">
      <x14:dxfs count="6">
        <dxf>
          <fill>
            <patternFill>
              <bgColor theme="3" tint="0.39994506668294322"/>
            </patternFill>
          </fill>
        </dxf>
        <dxf>
          <fill>
            <patternFill>
              <bgColor theme="0"/>
            </patternFill>
          </fill>
        </dxf>
        <dxf>
          <fill>
            <patternFill>
              <bgColor theme="0"/>
            </patternFill>
          </fill>
        </dxf>
        <dxf>
          <fill>
            <patternFill>
              <bgColor theme="3" tint="0.39994506668294322"/>
            </patternFill>
          </fill>
        </dxf>
        <dxf>
          <fill>
            <patternFill>
              <bgColor theme="3"/>
            </patternFill>
          </fill>
        </dxf>
        <dxf>
          <fill>
            <patternFill>
              <bgColor rgb="FF40404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5"/>
            <x14:slicerStyleElement type="selectedItemWithData" dxfId="4"/>
          </x14:slicerStyleElements>
        </x14:slicerStyle>
        <x14:slicerStyle name="Slicer Style 3"/>
        <x14:slicerStyle name="Slicer Style 4">
          <x14:slicerStyleElements>
            <x14:slicerStyleElement type="unselectedItemWithData" dxfId="3"/>
            <x14:slicerStyleElement type="selectedItemWithData" dxfId="2"/>
          </x14:slicerStyleElements>
        </x14:slicerStyle>
        <x14:slicerStyle name="Slicer Style 5">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 (Lookup &amp; V-look up) (5).xlsx full final.xlsx]pivot!PivotTable1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Location</a:t>
            </a:r>
            <a:r>
              <a:rPr lang="en-US" baseline="0">
                <a:solidFill>
                  <a:schemeClr val="bg1"/>
                </a:solidFill>
              </a:rPr>
              <a:t> by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pivotFmt>
      <c:pivotFmt>
        <c:idx val="4"/>
        <c:spPr>
          <a:solidFill>
            <a:schemeClr val="accent6">
              <a:lumMod val="75000"/>
            </a:schemeClr>
          </a:solidFill>
          <a:ln>
            <a:noFill/>
          </a:ln>
          <a:effectLst/>
          <a:sp3d/>
        </c:spPr>
      </c:pivotFmt>
      <c:pivotFmt>
        <c:idx val="5"/>
        <c:spPr>
          <a:solidFill>
            <a:schemeClr val="accent3"/>
          </a:solidFill>
          <a:ln>
            <a:noFill/>
          </a:ln>
          <a:effectLst/>
          <a:sp3d/>
        </c:spPr>
      </c:pivotFmt>
      <c:pivotFmt>
        <c:idx val="6"/>
        <c:spPr>
          <a:solidFill>
            <a:schemeClr val="tx2">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pivot!$C$6</c:f>
              <c:strCache>
                <c:ptCount val="1"/>
                <c:pt idx="0">
                  <c:v>Total</c:v>
                </c:pt>
              </c:strCache>
            </c:strRef>
          </c:tx>
          <c:spPr>
            <a:solidFill>
              <a:schemeClr val="accent1"/>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4-7EBC-469E-9B45-35FDB0AADB26}"/>
              </c:ext>
            </c:extLst>
          </c:dPt>
          <c:dPt>
            <c:idx val="1"/>
            <c:invertIfNegative val="0"/>
            <c:bubble3D val="0"/>
            <c:extLst>
              <c:ext xmlns:c16="http://schemas.microsoft.com/office/drawing/2014/chart" uri="{C3380CC4-5D6E-409C-BE32-E72D297353CC}">
                <c16:uniqueId val="{00000003-7EBC-469E-9B45-35FDB0AADB26}"/>
              </c:ext>
            </c:extLst>
          </c:dPt>
          <c:dPt>
            <c:idx val="2"/>
            <c:invertIfNegative val="0"/>
            <c:bubble3D val="0"/>
            <c:extLst>
              <c:ext xmlns:c16="http://schemas.microsoft.com/office/drawing/2014/chart" uri="{C3380CC4-5D6E-409C-BE32-E72D297353CC}">
                <c16:uniqueId val="{00000002-7EBC-469E-9B45-35FDB0AADB26}"/>
              </c:ext>
            </c:extLst>
          </c:dPt>
          <c:dPt>
            <c:idx val="3"/>
            <c:invertIfNegative val="0"/>
            <c:bubble3D val="0"/>
            <c:extLst>
              <c:ext xmlns:c16="http://schemas.microsoft.com/office/drawing/2014/chart" uri="{C3380CC4-5D6E-409C-BE32-E72D297353CC}">
                <c16:uniqueId val="{00000001-7EBC-469E-9B45-35FDB0AADB26}"/>
              </c:ext>
            </c:extLst>
          </c:dPt>
          <c:cat>
            <c:strRef>
              <c:f>pivot!$B$7:$B$8</c:f>
              <c:strCache>
                <c:ptCount val="1"/>
                <c:pt idx="0">
                  <c:v>Delhi</c:v>
                </c:pt>
              </c:strCache>
            </c:strRef>
          </c:cat>
          <c:val>
            <c:numRef>
              <c:f>pivot!$C$7:$C$8</c:f>
              <c:numCache>
                <c:formatCode>General</c:formatCode>
                <c:ptCount val="1"/>
                <c:pt idx="0">
                  <c:v>8448</c:v>
                </c:pt>
              </c:numCache>
            </c:numRef>
          </c:val>
          <c:extLst>
            <c:ext xmlns:c16="http://schemas.microsoft.com/office/drawing/2014/chart" uri="{C3380CC4-5D6E-409C-BE32-E72D297353CC}">
              <c16:uniqueId val="{00000000-7EBC-469E-9B45-35FDB0AADB26}"/>
            </c:ext>
          </c:extLst>
        </c:ser>
        <c:dLbls>
          <c:showLegendKey val="0"/>
          <c:showVal val="0"/>
          <c:showCatName val="0"/>
          <c:showSerName val="0"/>
          <c:showPercent val="0"/>
          <c:showBubbleSize val="0"/>
        </c:dLbls>
        <c:gapWidth val="150"/>
        <c:shape val="box"/>
        <c:axId val="406450064"/>
        <c:axId val="406447544"/>
        <c:axId val="0"/>
      </c:bar3DChart>
      <c:catAx>
        <c:axId val="406450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6447544"/>
        <c:crosses val="autoZero"/>
        <c:auto val="1"/>
        <c:lblAlgn val="ctr"/>
        <c:lblOffset val="100"/>
        <c:noMultiLvlLbl val="0"/>
      </c:catAx>
      <c:valAx>
        <c:axId val="406447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645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 (Lookup &amp; V-look up) (5).xlsx full final.xlsx]pivot!PivotTable2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Skill</a:t>
            </a:r>
            <a:r>
              <a:rPr lang="en-US" baseline="0">
                <a:solidFill>
                  <a:schemeClr val="bg1"/>
                </a:solidFill>
              </a:rPr>
              <a:t> by applicants</a:t>
            </a:r>
            <a:endParaRPr lang="en-US">
              <a:solidFill>
                <a:schemeClr val="bg1"/>
              </a:solidFill>
            </a:endParaRPr>
          </a:p>
        </c:rich>
      </c:tx>
      <c:layout>
        <c:manualLayout>
          <c:xMode val="edge"/>
          <c:yMode val="edge"/>
          <c:x val="0.11621495327102806"/>
          <c:y val="0.143618537933454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pivot!$C$22</c:f>
              <c:strCache>
                <c:ptCount val="1"/>
                <c:pt idx="0">
                  <c:v>Total</c:v>
                </c:pt>
              </c:strCache>
            </c:strRef>
          </c:tx>
          <c:dPt>
            <c:idx val="0"/>
            <c:bubble3D val="0"/>
            <c:explosion val="2"/>
            <c:spPr>
              <a:solidFill>
                <a:schemeClr val="accent1"/>
              </a:solidFill>
              <a:ln w="19050">
                <a:solidFill>
                  <a:schemeClr val="lt1"/>
                </a:solidFill>
              </a:ln>
              <a:effectLst/>
            </c:spPr>
            <c:extLst>
              <c:ext xmlns:c16="http://schemas.microsoft.com/office/drawing/2014/chart" uri="{C3380CC4-5D6E-409C-BE32-E72D297353CC}">
                <c16:uniqueId val="{00000001-06D9-41E1-BDD9-81CA6E996A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D9-41E1-BDD9-81CA6E996A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D9-41E1-BDD9-81CA6E996A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D9-41E1-BDD9-81CA6E996AF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6D9-41E1-BDD9-81CA6E996AF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6D9-41E1-BDD9-81CA6E996AFF}"/>
              </c:ext>
            </c:extLst>
          </c:dPt>
          <c:dLbls>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pivot!$B$23:$B$29</c:f>
              <c:strCache>
                <c:ptCount val="6"/>
                <c:pt idx="0">
                  <c:v>Excel</c:v>
                </c:pt>
                <c:pt idx="1">
                  <c:v>Java</c:v>
                </c:pt>
                <c:pt idx="2">
                  <c:v>NodeJS</c:v>
                </c:pt>
                <c:pt idx="3">
                  <c:v>Python</c:v>
                </c:pt>
                <c:pt idx="4">
                  <c:v>React</c:v>
                </c:pt>
                <c:pt idx="5">
                  <c:v>SQL</c:v>
                </c:pt>
              </c:strCache>
            </c:strRef>
          </c:cat>
          <c:val>
            <c:numRef>
              <c:f>pivot!$C$23:$C$29</c:f>
              <c:numCache>
                <c:formatCode>General</c:formatCode>
                <c:ptCount val="6"/>
                <c:pt idx="0">
                  <c:v>127</c:v>
                </c:pt>
                <c:pt idx="1">
                  <c:v>679</c:v>
                </c:pt>
                <c:pt idx="2">
                  <c:v>480</c:v>
                </c:pt>
                <c:pt idx="3">
                  <c:v>1362</c:v>
                </c:pt>
                <c:pt idx="4">
                  <c:v>836</c:v>
                </c:pt>
                <c:pt idx="5">
                  <c:v>1442</c:v>
                </c:pt>
              </c:numCache>
            </c:numRef>
          </c:val>
          <c:extLst>
            <c:ext xmlns:c16="http://schemas.microsoft.com/office/drawing/2014/chart" uri="{C3380CC4-5D6E-409C-BE32-E72D297353CC}">
              <c16:uniqueId val="{0000000C-06D9-41E1-BDD9-81CA6E996AF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49690926484657"/>
          <c:y val="0.11281371923104207"/>
          <c:w val="0.2063393185664876"/>
          <c:h val="0.5215325955877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 (Lookup &amp; V-look up) (5).xlsx full final.xlsx]pivot!PivotTable3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Monthly</a:t>
            </a:r>
            <a:r>
              <a:rPr lang="en-US" baseline="0">
                <a:solidFill>
                  <a:schemeClr val="bg1"/>
                </a:solidFill>
              </a:rPr>
              <a:t> hiring Trends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pivot!$O$5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pivot!$N$6:$N$18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pivot!$O$6:$O$18</c:f>
              <c:numCache>
                <c:formatCode>General</c:formatCode>
                <c:ptCount val="12"/>
                <c:pt idx="0">
                  <c:v>4</c:v>
                </c:pt>
                <c:pt idx="1">
                  <c:v>2</c:v>
                </c:pt>
                <c:pt idx="2">
                  <c:v>3</c:v>
                </c:pt>
                <c:pt idx="3">
                  <c:v>4</c:v>
                </c:pt>
                <c:pt idx="4">
                  <c:v>4</c:v>
                </c:pt>
                <c:pt idx="5">
                  <c:v>1</c:v>
                </c:pt>
                <c:pt idx="6">
                  <c:v>2</c:v>
                </c:pt>
                <c:pt idx="7">
                  <c:v>5</c:v>
                </c:pt>
                <c:pt idx="8">
                  <c:v>2</c:v>
                </c:pt>
                <c:pt idx="9">
                  <c:v>2</c:v>
                </c:pt>
                <c:pt idx="10">
                  <c:v>4</c:v>
                </c:pt>
                <c:pt idx="11">
                  <c:v>3</c:v>
                </c:pt>
              </c:numCache>
            </c:numRef>
          </c:val>
          <c:smooth val="0"/>
          <c:extLst>
            <c:ext xmlns:c16="http://schemas.microsoft.com/office/drawing/2014/chart" uri="{C3380CC4-5D6E-409C-BE32-E72D297353CC}">
              <c16:uniqueId val="{00000000-A908-4C08-AE0D-A482186D5FF8}"/>
            </c:ext>
          </c:extLst>
        </c:ser>
        <c:dLbls>
          <c:dLblPos val="t"/>
          <c:showLegendKey val="0"/>
          <c:showVal val="1"/>
          <c:showCatName val="0"/>
          <c:showSerName val="0"/>
          <c:showPercent val="0"/>
          <c:showBubbleSize val="0"/>
        </c:dLbls>
        <c:smooth val="0"/>
        <c:axId val="541321016"/>
        <c:axId val="541324976"/>
      </c:lineChart>
      <c:catAx>
        <c:axId val="541321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324976"/>
        <c:crosses val="autoZero"/>
        <c:auto val="1"/>
        <c:lblAlgn val="ctr"/>
        <c:lblOffset val="100"/>
        <c:noMultiLvlLbl val="0"/>
      </c:catAx>
      <c:valAx>
        <c:axId val="54132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1321016"/>
        <c:crosses val="autoZero"/>
        <c:crossBetween val="between"/>
      </c:valAx>
      <c:dTable>
        <c:showHorzBorder val="1"/>
        <c:showVertBorder val="1"/>
        <c:showOutline val="1"/>
        <c:showKeys val="1"/>
        <c:spPr>
          <a:noFill/>
          <a:ln w="9525" cap="flat" cmpd="sng" algn="ctr">
            <a:no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 (Lookup &amp; V-look up) (5).xlsx full final.xlsx]pivot!PivotTable1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a:t>
            </a:r>
            <a:r>
              <a:rPr lang="en-US" baseline="0"/>
              <a:t> by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pivot!$C$6</c:f>
              <c:strCache>
                <c:ptCount val="1"/>
                <c:pt idx="0">
                  <c:v>Total</c:v>
                </c:pt>
              </c:strCache>
            </c:strRef>
          </c:tx>
          <c:spPr>
            <a:solidFill>
              <a:schemeClr val="accent1"/>
            </a:solidFill>
            <a:ln>
              <a:noFill/>
            </a:ln>
            <a:effectLst/>
            <a:sp3d/>
          </c:spPr>
          <c:invertIfNegative val="0"/>
          <c:cat>
            <c:strRef>
              <c:f>pivot!$B$7:$B$8</c:f>
              <c:strCache>
                <c:ptCount val="1"/>
                <c:pt idx="0">
                  <c:v>Delhi</c:v>
                </c:pt>
              </c:strCache>
            </c:strRef>
          </c:cat>
          <c:val>
            <c:numRef>
              <c:f>pivot!$C$7:$C$8</c:f>
              <c:numCache>
                <c:formatCode>General</c:formatCode>
                <c:ptCount val="1"/>
                <c:pt idx="0">
                  <c:v>8448</c:v>
                </c:pt>
              </c:numCache>
            </c:numRef>
          </c:val>
          <c:extLst>
            <c:ext xmlns:c16="http://schemas.microsoft.com/office/drawing/2014/chart" uri="{C3380CC4-5D6E-409C-BE32-E72D297353CC}">
              <c16:uniqueId val="{00000000-FF7A-4CCC-8C3B-1A36A215BCE1}"/>
            </c:ext>
          </c:extLst>
        </c:ser>
        <c:dLbls>
          <c:showLegendKey val="0"/>
          <c:showVal val="0"/>
          <c:showCatName val="0"/>
          <c:showSerName val="0"/>
          <c:showPercent val="0"/>
          <c:showBubbleSize val="0"/>
        </c:dLbls>
        <c:gapWidth val="150"/>
        <c:shape val="box"/>
        <c:axId val="406450064"/>
        <c:axId val="406447544"/>
        <c:axId val="0"/>
      </c:bar3DChart>
      <c:catAx>
        <c:axId val="406450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47544"/>
        <c:crosses val="autoZero"/>
        <c:auto val="1"/>
        <c:lblAlgn val="ctr"/>
        <c:lblOffset val="100"/>
        <c:noMultiLvlLbl val="0"/>
      </c:catAx>
      <c:valAx>
        <c:axId val="406447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5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 (Lookup &amp; V-look up) (5).xlsx full final.xlsx]pivot!PivotTable2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a:t>
            </a:r>
            <a:r>
              <a:rPr lang="en-US" baseline="0"/>
              <a:t> vs applicants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pivot!$C$22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C9-4F60-87FB-5C80E585A9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C9-4F60-87FB-5C80E585A9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C9-4F60-87FB-5C80E585A9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C9-4F60-87FB-5C80E585A9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C9-4F60-87FB-5C80E585A9C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9C9-4F60-87FB-5C80E585A9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pivot!$B$23:$B$29</c:f>
              <c:strCache>
                <c:ptCount val="6"/>
                <c:pt idx="0">
                  <c:v>Excel</c:v>
                </c:pt>
                <c:pt idx="1">
                  <c:v>Java</c:v>
                </c:pt>
                <c:pt idx="2">
                  <c:v>NodeJS</c:v>
                </c:pt>
                <c:pt idx="3">
                  <c:v>Python</c:v>
                </c:pt>
                <c:pt idx="4">
                  <c:v>React</c:v>
                </c:pt>
                <c:pt idx="5">
                  <c:v>SQL</c:v>
                </c:pt>
              </c:strCache>
            </c:strRef>
          </c:cat>
          <c:val>
            <c:numRef>
              <c:f>pivot!$C$23:$C$29</c:f>
              <c:numCache>
                <c:formatCode>General</c:formatCode>
                <c:ptCount val="6"/>
                <c:pt idx="0">
                  <c:v>127</c:v>
                </c:pt>
                <c:pt idx="1">
                  <c:v>679</c:v>
                </c:pt>
                <c:pt idx="2">
                  <c:v>480</c:v>
                </c:pt>
                <c:pt idx="3">
                  <c:v>1362</c:v>
                </c:pt>
                <c:pt idx="4">
                  <c:v>836</c:v>
                </c:pt>
                <c:pt idx="5">
                  <c:v>1442</c:v>
                </c:pt>
              </c:numCache>
            </c:numRef>
          </c:val>
          <c:extLst>
            <c:ext xmlns:c16="http://schemas.microsoft.com/office/drawing/2014/chart" uri="{C3380CC4-5D6E-409C-BE32-E72D297353CC}">
              <c16:uniqueId val="{00000000-8CED-4011-9448-5269E4F499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4 (Lookup &amp; V-look up) (5).xlsx full final.xlsx]pivot!PivotTable3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hiring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pivot!$O$5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pivot!$N$6:$N$18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pivot!$O$6:$O$18</c:f>
              <c:numCache>
                <c:formatCode>General</c:formatCode>
                <c:ptCount val="12"/>
                <c:pt idx="0">
                  <c:v>4</c:v>
                </c:pt>
                <c:pt idx="1">
                  <c:v>2</c:v>
                </c:pt>
                <c:pt idx="2">
                  <c:v>3</c:v>
                </c:pt>
                <c:pt idx="3">
                  <c:v>4</c:v>
                </c:pt>
                <c:pt idx="4">
                  <c:v>4</c:v>
                </c:pt>
                <c:pt idx="5">
                  <c:v>1</c:v>
                </c:pt>
                <c:pt idx="6">
                  <c:v>2</c:v>
                </c:pt>
                <c:pt idx="7">
                  <c:v>5</c:v>
                </c:pt>
                <c:pt idx="8">
                  <c:v>2</c:v>
                </c:pt>
                <c:pt idx="9">
                  <c:v>2</c:v>
                </c:pt>
                <c:pt idx="10">
                  <c:v>4</c:v>
                </c:pt>
                <c:pt idx="11">
                  <c:v>3</c:v>
                </c:pt>
              </c:numCache>
            </c:numRef>
          </c:val>
          <c:smooth val="0"/>
          <c:extLst>
            <c:ext xmlns:c16="http://schemas.microsoft.com/office/drawing/2014/chart" uri="{C3380CC4-5D6E-409C-BE32-E72D297353CC}">
              <c16:uniqueId val="{00000000-0601-4F99-88E1-A033A5ECE1CB}"/>
            </c:ext>
          </c:extLst>
        </c:ser>
        <c:dLbls>
          <c:dLblPos val="t"/>
          <c:showLegendKey val="0"/>
          <c:showVal val="1"/>
          <c:showCatName val="0"/>
          <c:showSerName val="0"/>
          <c:showPercent val="0"/>
          <c:showBubbleSize val="0"/>
        </c:dLbls>
        <c:smooth val="0"/>
        <c:axId val="541321016"/>
        <c:axId val="541324976"/>
      </c:lineChart>
      <c:catAx>
        <c:axId val="541321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324976"/>
        <c:crosses val="autoZero"/>
        <c:auto val="1"/>
        <c:lblAlgn val="ctr"/>
        <c:lblOffset val="100"/>
        <c:noMultiLvlLbl val="0"/>
      </c:catAx>
      <c:valAx>
        <c:axId val="54132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321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Raw_Data!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https://www.naukri.com/"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hyperlink" Target="Job_Analytics_Report%20final%20(1).pdf"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514350</xdr:colOff>
      <xdr:row>3</xdr:row>
      <xdr:rowOff>0</xdr:rowOff>
    </xdr:from>
    <xdr:to>
      <xdr:col>3</xdr:col>
      <xdr:colOff>368300</xdr:colOff>
      <xdr:row>6</xdr:row>
      <xdr:rowOff>0</xdr:rowOff>
    </xdr:to>
    <xdr:sp macro="" textlink="">
      <xdr:nvSpPr>
        <xdr:cNvPr id="2" name="Rectangle 1">
          <a:extLst>
            <a:ext uri="{FF2B5EF4-FFF2-40B4-BE49-F238E27FC236}">
              <a16:creationId xmlns:a16="http://schemas.microsoft.com/office/drawing/2014/main" id="{B9A0D3CB-DECF-09BC-28E7-116D83239665}"/>
            </a:ext>
          </a:extLst>
        </xdr:cNvPr>
        <xdr:cNvSpPr/>
      </xdr:nvSpPr>
      <xdr:spPr>
        <a:xfrm>
          <a:off x="514350" y="0"/>
          <a:ext cx="1682750" cy="552450"/>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200" b="1"/>
            <a:t>Total JObs</a:t>
          </a:r>
          <a:r>
            <a:rPr lang="en-US" sz="1200">
              <a:effectLst/>
            </a:rPr>
            <a:t> </a:t>
          </a:r>
          <a:endParaRPr lang="en-US" sz="1200" b="1"/>
        </a:p>
      </xdr:txBody>
    </xdr:sp>
    <xdr:clientData/>
  </xdr:twoCellAnchor>
  <xdr:twoCellAnchor editAs="oneCell">
    <xdr:from>
      <xdr:col>0</xdr:col>
      <xdr:colOff>565150</xdr:colOff>
      <xdr:row>3</xdr:row>
      <xdr:rowOff>146050</xdr:rowOff>
    </xdr:from>
    <xdr:to>
      <xdr:col>1</xdr:col>
      <xdr:colOff>431800</xdr:colOff>
      <xdr:row>5</xdr:row>
      <xdr:rowOff>158750</xdr:rowOff>
    </xdr:to>
    <xdr:pic>
      <xdr:nvPicPr>
        <xdr:cNvPr id="4" name="Graphic 3" descr="Briefcase with solid fill">
          <a:extLst>
            <a:ext uri="{FF2B5EF4-FFF2-40B4-BE49-F238E27FC236}">
              <a16:creationId xmlns:a16="http://schemas.microsoft.com/office/drawing/2014/main" id="{2A8A08BD-ED73-806F-DECE-BA859016A6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5150" y="146050"/>
          <a:ext cx="476250" cy="381000"/>
        </a:xfrm>
        <a:prstGeom prst="rect">
          <a:avLst/>
        </a:prstGeom>
      </xdr:spPr>
    </xdr:pic>
    <xdr:clientData/>
  </xdr:twoCellAnchor>
  <xdr:twoCellAnchor>
    <xdr:from>
      <xdr:col>2</xdr:col>
      <xdr:colOff>234950</xdr:colOff>
      <xdr:row>4</xdr:row>
      <xdr:rowOff>82550</xdr:rowOff>
    </xdr:from>
    <xdr:to>
      <xdr:col>3</xdr:col>
      <xdr:colOff>215900</xdr:colOff>
      <xdr:row>5</xdr:row>
      <xdr:rowOff>158750</xdr:rowOff>
    </xdr:to>
    <xdr:sp macro="" textlink="Sheet2!B5">
      <xdr:nvSpPr>
        <xdr:cNvPr id="5" name="Oval 4">
          <a:extLst>
            <a:ext uri="{FF2B5EF4-FFF2-40B4-BE49-F238E27FC236}">
              <a16:creationId xmlns:a16="http://schemas.microsoft.com/office/drawing/2014/main" id="{D681854C-EE3C-F6AB-4035-E8CD4B00138E}"/>
            </a:ext>
          </a:extLst>
        </xdr:cNvPr>
        <xdr:cNvSpPr/>
      </xdr:nvSpPr>
      <xdr:spPr>
        <a:xfrm>
          <a:off x="1454150" y="266700"/>
          <a:ext cx="590550" cy="260350"/>
        </a:xfrm>
        <a:prstGeom prst="ellipse">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5B9E50-F519-4AF5-AE16-59AB99C8F916}" type="TxLink">
            <a:rPr lang="en-US" sz="1100" b="0" i="0" u="none" strike="noStrike">
              <a:solidFill>
                <a:schemeClr val="bg1"/>
              </a:solidFill>
              <a:latin typeface="Calibri"/>
              <a:cs typeface="Calibri"/>
            </a:rPr>
            <a:pPr algn="ctr"/>
            <a:t>500</a:t>
          </a:fld>
          <a:endParaRPr lang="en-US" sz="1100">
            <a:solidFill>
              <a:schemeClr val="bg1"/>
            </a:solidFill>
          </a:endParaRPr>
        </a:p>
      </xdr:txBody>
    </xdr:sp>
    <xdr:clientData/>
  </xdr:twoCellAnchor>
  <xdr:twoCellAnchor>
    <xdr:from>
      <xdr:col>3</xdr:col>
      <xdr:colOff>406400</xdr:colOff>
      <xdr:row>3</xdr:row>
      <xdr:rowOff>0</xdr:rowOff>
    </xdr:from>
    <xdr:to>
      <xdr:col>6</xdr:col>
      <xdr:colOff>260350</xdr:colOff>
      <xdr:row>6</xdr:row>
      <xdr:rowOff>0</xdr:rowOff>
    </xdr:to>
    <xdr:sp macro="" textlink="">
      <xdr:nvSpPr>
        <xdr:cNvPr id="6" name="Rectangle 5">
          <a:extLst>
            <a:ext uri="{FF2B5EF4-FFF2-40B4-BE49-F238E27FC236}">
              <a16:creationId xmlns:a16="http://schemas.microsoft.com/office/drawing/2014/main" id="{64983E5C-6A47-40DC-9039-E77CC0B0FE8B}"/>
            </a:ext>
          </a:extLst>
        </xdr:cNvPr>
        <xdr:cNvSpPr/>
      </xdr:nvSpPr>
      <xdr:spPr>
        <a:xfrm>
          <a:off x="2235200" y="0"/>
          <a:ext cx="1682750" cy="552450"/>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200" b="1"/>
            <a:t>Applicants</a:t>
          </a:r>
        </a:p>
      </xdr:txBody>
    </xdr:sp>
    <xdr:clientData/>
  </xdr:twoCellAnchor>
  <xdr:twoCellAnchor>
    <xdr:from>
      <xdr:col>9</xdr:col>
      <xdr:colOff>158750</xdr:colOff>
      <xdr:row>3</xdr:row>
      <xdr:rowOff>0</xdr:rowOff>
    </xdr:from>
    <xdr:to>
      <xdr:col>12</xdr:col>
      <xdr:colOff>12700</xdr:colOff>
      <xdr:row>6</xdr:row>
      <xdr:rowOff>0</xdr:rowOff>
    </xdr:to>
    <xdr:sp macro="" textlink="">
      <xdr:nvSpPr>
        <xdr:cNvPr id="7" name="Rectangle 6">
          <a:extLst>
            <a:ext uri="{FF2B5EF4-FFF2-40B4-BE49-F238E27FC236}">
              <a16:creationId xmlns:a16="http://schemas.microsoft.com/office/drawing/2014/main" id="{20EC066E-CBB3-4372-B74B-85ADFB7C1D7B}"/>
            </a:ext>
          </a:extLst>
        </xdr:cNvPr>
        <xdr:cNvSpPr/>
      </xdr:nvSpPr>
      <xdr:spPr>
        <a:xfrm>
          <a:off x="5645150" y="0"/>
          <a:ext cx="1682750" cy="552450"/>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200" b="1"/>
            <a:t>Rejected</a:t>
          </a:r>
        </a:p>
      </xdr:txBody>
    </xdr:sp>
    <xdr:clientData/>
  </xdr:twoCellAnchor>
  <xdr:twoCellAnchor>
    <xdr:from>
      <xdr:col>6</xdr:col>
      <xdr:colOff>285750</xdr:colOff>
      <xdr:row>3</xdr:row>
      <xdr:rowOff>0</xdr:rowOff>
    </xdr:from>
    <xdr:to>
      <xdr:col>9</xdr:col>
      <xdr:colOff>139700</xdr:colOff>
      <xdr:row>6</xdr:row>
      <xdr:rowOff>0</xdr:rowOff>
    </xdr:to>
    <xdr:sp macro="" textlink="">
      <xdr:nvSpPr>
        <xdr:cNvPr id="8" name="Rectangle 7">
          <a:extLst>
            <a:ext uri="{FF2B5EF4-FFF2-40B4-BE49-F238E27FC236}">
              <a16:creationId xmlns:a16="http://schemas.microsoft.com/office/drawing/2014/main" id="{7ABEDAE3-19FE-4425-A6C0-0F54AFABE412}"/>
            </a:ext>
          </a:extLst>
        </xdr:cNvPr>
        <xdr:cNvSpPr/>
      </xdr:nvSpPr>
      <xdr:spPr>
        <a:xfrm>
          <a:off x="3943350" y="0"/>
          <a:ext cx="1682750" cy="55245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200" b="1"/>
            <a:t>Shortlisted</a:t>
          </a:r>
        </a:p>
      </xdr:txBody>
    </xdr:sp>
    <xdr:clientData/>
  </xdr:twoCellAnchor>
  <xdr:twoCellAnchor>
    <xdr:from>
      <xdr:col>5</xdr:col>
      <xdr:colOff>25400</xdr:colOff>
      <xdr:row>4</xdr:row>
      <xdr:rowOff>63500</xdr:rowOff>
    </xdr:from>
    <xdr:to>
      <xdr:col>6</xdr:col>
      <xdr:colOff>222250</xdr:colOff>
      <xdr:row>6</xdr:row>
      <xdr:rowOff>6350</xdr:rowOff>
    </xdr:to>
    <xdr:sp macro="" textlink="Sheet2!M6">
      <xdr:nvSpPr>
        <xdr:cNvPr id="9" name="Oval 8">
          <a:extLst>
            <a:ext uri="{FF2B5EF4-FFF2-40B4-BE49-F238E27FC236}">
              <a16:creationId xmlns:a16="http://schemas.microsoft.com/office/drawing/2014/main" id="{E9D19477-65C0-41AE-83B1-611A76731939}"/>
            </a:ext>
          </a:extLst>
        </xdr:cNvPr>
        <xdr:cNvSpPr/>
      </xdr:nvSpPr>
      <xdr:spPr>
        <a:xfrm>
          <a:off x="3073400" y="247650"/>
          <a:ext cx="806450" cy="311150"/>
        </a:xfrm>
        <a:prstGeom prst="ellipse">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1"/>
            </a:solidFill>
          </a:endParaRPr>
        </a:p>
      </xdr:txBody>
    </xdr:sp>
    <xdr:clientData/>
  </xdr:twoCellAnchor>
  <xdr:twoCellAnchor>
    <xdr:from>
      <xdr:col>8</xdr:col>
      <xdr:colOff>38100</xdr:colOff>
      <xdr:row>4</xdr:row>
      <xdr:rowOff>82550</xdr:rowOff>
    </xdr:from>
    <xdr:to>
      <xdr:col>9</xdr:col>
      <xdr:colOff>19050</xdr:colOff>
      <xdr:row>5</xdr:row>
      <xdr:rowOff>158750</xdr:rowOff>
    </xdr:to>
    <xdr:sp macro="" textlink="Sheet2!M7">
      <xdr:nvSpPr>
        <xdr:cNvPr id="10" name="Oval 9">
          <a:extLst>
            <a:ext uri="{FF2B5EF4-FFF2-40B4-BE49-F238E27FC236}">
              <a16:creationId xmlns:a16="http://schemas.microsoft.com/office/drawing/2014/main" id="{D8B19E7B-A5AE-4C4B-909A-C7B4F279AF3C}"/>
            </a:ext>
          </a:extLst>
        </xdr:cNvPr>
        <xdr:cNvSpPr/>
      </xdr:nvSpPr>
      <xdr:spPr>
        <a:xfrm>
          <a:off x="4914900" y="266700"/>
          <a:ext cx="590550" cy="260350"/>
        </a:xfrm>
        <a:prstGeom prst="ellipse">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86B322-2B24-4B89-BB0F-5D7A214F5FFE}" type="TxLink">
            <a:rPr lang="en-US" sz="1100" b="0" i="0" u="none" strike="noStrike">
              <a:solidFill>
                <a:schemeClr val="bg1"/>
              </a:solidFill>
              <a:latin typeface="Calibri"/>
              <a:cs typeface="Calibri"/>
            </a:rPr>
            <a:pPr algn="ctr"/>
            <a:t>156</a:t>
          </a:fld>
          <a:endParaRPr lang="en-US" sz="1100">
            <a:solidFill>
              <a:schemeClr val="bg1"/>
            </a:solidFill>
          </a:endParaRPr>
        </a:p>
      </xdr:txBody>
    </xdr:sp>
    <xdr:clientData/>
  </xdr:twoCellAnchor>
  <xdr:twoCellAnchor>
    <xdr:from>
      <xdr:col>10</xdr:col>
      <xdr:colOff>482600</xdr:colOff>
      <xdr:row>4</xdr:row>
      <xdr:rowOff>44450</xdr:rowOff>
    </xdr:from>
    <xdr:to>
      <xdr:col>11</xdr:col>
      <xdr:colOff>520700</xdr:colOff>
      <xdr:row>5</xdr:row>
      <xdr:rowOff>146050</xdr:rowOff>
    </xdr:to>
    <xdr:sp macro="" textlink="Sheet2!M8">
      <xdr:nvSpPr>
        <xdr:cNvPr id="11" name="Oval 10">
          <a:extLst>
            <a:ext uri="{FF2B5EF4-FFF2-40B4-BE49-F238E27FC236}">
              <a16:creationId xmlns:a16="http://schemas.microsoft.com/office/drawing/2014/main" id="{A1512B76-C72A-4A2B-81AF-18AFA72B88CB}"/>
            </a:ext>
          </a:extLst>
        </xdr:cNvPr>
        <xdr:cNvSpPr/>
      </xdr:nvSpPr>
      <xdr:spPr>
        <a:xfrm>
          <a:off x="6578600" y="228600"/>
          <a:ext cx="647700" cy="285750"/>
        </a:xfrm>
        <a:prstGeom prst="ellipse">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18449B-4E41-47A6-8DDF-4C13F9D305AD}" type="TxLink">
            <a:rPr lang="en-US" sz="1100" b="0" i="0" u="none" strike="noStrike">
              <a:solidFill>
                <a:schemeClr val="bg1"/>
              </a:solidFill>
              <a:latin typeface="Calibri"/>
              <a:cs typeface="Calibri"/>
            </a:rPr>
            <a:pPr algn="ctr"/>
            <a:t>174</a:t>
          </a:fld>
          <a:endParaRPr lang="en-US" sz="1100">
            <a:solidFill>
              <a:schemeClr val="bg1"/>
            </a:solidFill>
          </a:endParaRPr>
        </a:p>
      </xdr:txBody>
    </xdr:sp>
    <xdr:clientData/>
  </xdr:twoCellAnchor>
  <xdr:twoCellAnchor editAs="oneCell">
    <xdr:from>
      <xdr:col>3</xdr:col>
      <xdr:colOff>400050</xdr:colOff>
      <xdr:row>3</xdr:row>
      <xdr:rowOff>25400</xdr:rowOff>
    </xdr:from>
    <xdr:to>
      <xdr:col>3</xdr:col>
      <xdr:colOff>990600</xdr:colOff>
      <xdr:row>5</xdr:row>
      <xdr:rowOff>139700</xdr:rowOff>
    </xdr:to>
    <xdr:pic>
      <xdr:nvPicPr>
        <xdr:cNvPr id="13" name="Graphic 12" descr="User with solid fill">
          <a:extLst>
            <a:ext uri="{FF2B5EF4-FFF2-40B4-BE49-F238E27FC236}">
              <a16:creationId xmlns:a16="http://schemas.microsoft.com/office/drawing/2014/main" id="{0C4765B4-2658-548E-D33D-92ED5BC3A1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28850" y="25400"/>
          <a:ext cx="590550" cy="482600"/>
        </a:xfrm>
        <a:prstGeom prst="rect">
          <a:avLst/>
        </a:prstGeom>
      </xdr:spPr>
    </xdr:pic>
    <xdr:clientData/>
  </xdr:twoCellAnchor>
  <xdr:twoCellAnchor editAs="oneCell">
    <xdr:from>
      <xdr:col>6</xdr:col>
      <xdr:colOff>442962</xdr:colOff>
      <xdr:row>4</xdr:row>
      <xdr:rowOff>63500</xdr:rowOff>
    </xdr:from>
    <xdr:to>
      <xdr:col>7</xdr:col>
      <xdr:colOff>189371</xdr:colOff>
      <xdr:row>5</xdr:row>
      <xdr:rowOff>158750</xdr:rowOff>
    </xdr:to>
    <xdr:pic>
      <xdr:nvPicPr>
        <xdr:cNvPr id="15" name="Graphic 14" descr="Checkmark with solid fill">
          <a:extLst>
            <a:ext uri="{FF2B5EF4-FFF2-40B4-BE49-F238E27FC236}">
              <a16:creationId xmlns:a16="http://schemas.microsoft.com/office/drawing/2014/main" id="{26EC4FDF-3ADE-2614-63E8-E5BF85D8F0B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00562" y="247650"/>
          <a:ext cx="356009" cy="279400"/>
        </a:xfrm>
        <a:prstGeom prst="rect">
          <a:avLst/>
        </a:prstGeom>
      </xdr:spPr>
    </xdr:pic>
    <xdr:clientData/>
  </xdr:twoCellAnchor>
  <xdr:twoCellAnchor editAs="oneCell">
    <xdr:from>
      <xdr:col>9</xdr:col>
      <xdr:colOff>260350</xdr:colOff>
      <xdr:row>3</xdr:row>
      <xdr:rowOff>152400</xdr:rowOff>
    </xdr:from>
    <xdr:to>
      <xdr:col>10</xdr:col>
      <xdr:colOff>38100</xdr:colOff>
      <xdr:row>5</xdr:row>
      <xdr:rowOff>165100</xdr:rowOff>
    </xdr:to>
    <xdr:pic>
      <xdr:nvPicPr>
        <xdr:cNvPr id="18" name="Graphic 17" descr="Close with solid fill">
          <a:extLst>
            <a:ext uri="{FF2B5EF4-FFF2-40B4-BE49-F238E27FC236}">
              <a16:creationId xmlns:a16="http://schemas.microsoft.com/office/drawing/2014/main" id="{2C79F88D-75F4-EBC0-66EE-9DAC1D9FCC2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50" y="152400"/>
          <a:ext cx="387350" cy="381000"/>
        </a:xfrm>
        <a:prstGeom prst="rect">
          <a:avLst/>
        </a:prstGeom>
      </xdr:spPr>
    </xdr:pic>
    <xdr:clientData/>
  </xdr:twoCellAnchor>
  <xdr:twoCellAnchor>
    <xdr:from>
      <xdr:col>2</xdr:col>
      <xdr:colOff>247650</xdr:colOff>
      <xdr:row>6</xdr:row>
      <xdr:rowOff>38100</xdr:rowOff>
    </xdr:from>
    <xdr:to>
      <xdr:col>7</xdr:col>
      <xdr:colOff>457200</xdr:colOff>
      <xdr:row>17</xdr:row>
      <xdr:rowOff>82550</xdr:rowOff>
    </xdr:to>
    <xdr:graphicFrame macro="">
      <xdr:nvGraphicFramePr>
        <xdr:cNvPr id="3" name="Chart 2">
          <a:extLst>
            <a:ext uri="{FF2B5EF4-FFF2-40B4-BE49-F238E27FC236}">
              <a16:creationId xmlns:a16="http://schemas.microsoft.com/office/drawing/2014/main" id="{B215D1F3-DC54-4E8A-AD4A-1AEFF1289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361950</xdr:colOff>
      <xdr:row>6</xdr:row>
      <xdr:rowOff>25400</xdr:rowOff>
    </xdr:from>
    <xdr:to>
      <xdr:col>12</xdr:col>
      <xdr:colOff>31750</xdr:colOff>
      <xdr:row>18</xdr:row>
      <xdr:rowOff>63500</xdr:rowOff>
    </xdr:to>
    <xdr:graphicFrame macro="">
      <xdr:nvGraphicFramePr>
        <xdr:cNvPr id="12" name="Chart 11">
          <a:extLst>
            <a:ext uri="{FF2B5EF4-FFF2-40B4-BE49-F238E27FC236}">
              <a16:creationId xmlns:a16="http://schemas.microsoft.com/office/drawing/2014/main" id="{374C5422-B34C-4C7C-9B6F-DEDBCDEEA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266700</xdr:colOff>
      <xdr:row>17</xdr:row>
      <xdr:rowOff>82550</xdr:rowOff>
    </xdr:from>
    <xdr:to>
      <xdr:col>12</xdr:col>
      <xdr:colOff>25400</xdr:colOff>
      <xdr:row>28</xdr:row>
      <xdr:rowOff>44450</xdr:rowOff>
    </xdr:to>
    <xdr:graphicFrame macro="">
      <xdr:nvGraphicFramePr>
        <xdr:cNvPr id="14" name="Chart 13">
          <a:extLst>
            <a:ext uri="{FF2B5EF4-FFF2-40B4-BE49-F238E27FC236}">
              <a16:creationId xmlns:a16="http://schemas.microsoft.com/office/drawing/2014/main" id="{705ACA7C-DB77-4EFB-BC64-63126CB64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63012</xdr:colOff>
      <xdr:row>6</xdr:row>
      <xdr:rowOff>19784</xdr:rowOff>
    </xdr:from>
    <xdr:to>
      <xdr:col>2</xdr:col>
      <xdr:colOff>278912</xdr:colOff>
      <xdr:row>15</xdr:row>
      <xdr:rowOff>13434</xdr:rowOff>
    </xdr:to>
    <mc:AlternateContent xmlns:mc="http://schemas.openxmlformats.org/markup-compatibility/2006" xmlns:a14="http://schemas.microsoft.com/office/drawing/2010/main">
      <mc:Choice Requires="a14">
        <xdr:graphicFrame macro="">
          <xdr:nvGraphicFramePr>
            <xdr:cNvPr id="17" name="Location 2">
              <a:extLst>
                <a:ext uri="{FF2B5EF4-FFF2-40B4-BE49-F238E27FC236}">
                  <a16:creationId xmlns:a16="http://schemas.microsoft.com/office/drawing/2014/main" id="{9C825EEC-BF11-4263-B3DB-1430CE6ED9B7}"/>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63012" y="1119578"/>
              <a:ext cx="1433529" cy="1643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139700</xdr:rowOff>
    </xdr:from>
    <xdr:to>
      <xdr:col>2</xdr:col>
      <xdr:colOff>285750</xdr:colOff>
      <xdr:row>28</xdr:row>
      <xdr:rowOff>38100</xdr:rowOff>
    </xdr:to>
    <mc:AlternateContent xmlns:mc="http://schemas.openxmlformats.org/markup-compatibility/2006" xmlns:a14="http://schemas.microsoft.com/office/drawing/2010/main">
      <mc:Choice Requires="a14">
        <xdr:graphicFrame macro="">
          <xdr:nvGraphicFramePr>
            <xdr:cNvPr id="19" name="Status">
              <a:extLst>
                <a:ext uri="{FF2B5EF4-FFF2-40B4-BE49-F238E27FC236}">
                  <a16:creationId xmlns:a16="http://schemas.microsoft.com/office/drawing/2014/main" id="{005D28B8-860C-4DF0-88DF-3DEE11B1806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0" y="4006850"/>
              <a:ext cx="1504950" cy="118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12700</xdr:rowOff>
    </xdr:from>
    <xdr:to>
      <xdr:col>2</xdr:col>
      <xdr:colOff>298450</xdr:colOff>
      <xdr:row>21</xdr:row>
      <xdr:rowOff>133350</xdr:rowOff>
    </xdr:to>
    <mc:AlternateContent xmlns:mc="http://schemas.openxmlformats.org/markup-compatibility/2006" xmlns:a14="http://schemas.microsoft.com/office/drawing/2010/main">
      <mc:Choice Requires="a14">
        <xdr:graphicFrame macro="">
          <xdr:nvGraphicFramePr>
            <xdr:cNvPr id="20" name="Experience">
              <a:extLst>
                <a:ext uri="{FF2B5EF4-FFF2-40B4-BE49-F238E27FC236}">
                  <a16:creationId xmlns:a16="http://schemas.microsoft.com/office/drawing/2014/main" id="{88EF4F64-3A1D-4FAF-AD74-BBFDFD49BB65}"/>
                </a:ext>
              </a:extLst>
            </xdr:cNvPr>
            <xdr:cNvGraphicFramePr/>
          </xdr:nvGraphicFramePr>
          <xdr:xfrm>
            <a:off x="0" y="0"/>
            <a:ext cx="0" cy="0"/>
          </xdr:xfrm>
          <a:graphic>
            <a:graphicData uri="http://schemas.microsoft.com/office/drawing/2010/slicer">
              <sle:slicer xmlns:sle="http://schemas.microsoft.com/office/drawing/2010/slicer" name="Experience"/>
            </a:graphicData>
          </a:graphic>
        </xdr:graphicFrame>
      </mc:Choice>
      <mc:Fallback xmlns="">
        <xdr:sp macro="" textlink="">
          <xdr:nvSpPr>
            <xdr:cNvPr id="0" name=""/>
            <xdr:cNvSpPr>
              <a:spLocks noTextEdit="1"/>
            </xdr:cNvSpPr>
          </xdr:nvSpPr>
          <xdr:spPr>
            <a:xfrm>
              <a:off x="0" y="2774950"/>
              <a:ext cx="1517650" cy="122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xdr:colOff>
      <xdr:row>0</xdr:row>
      <xdr:rowOff>0</xdr:rowOff>
    </xdr:from>
    <xdr:to>
      <xdr:col>12</xdr:col>
      <xdr:colOff>0</xdr:colOff>
      <xdr:row>2</xdr:row>
      <xdr:rowOff>139700</xdr:rowOff>
    </xdr:to>
    <xdr:sp macro="" textlink="">
      <xdr:nvSpPr>
        <xdr:cNvPr id="21" name="Rectangle 20">
          <a:hlinkClick xmlns:r="http://schemas.openxmlformats.org/officeDocument/2006/relationships" r:id="rId12"/>
          <a:extLst>
            <a:ext uri="{FF2B5EF4-FFF2-40B4-BE49-F238E27FC236}">
              <a16:creationId xmlns:a16="http://schemas.microsoft.com/office/drawing/2014/main" id="{71955F33-C534-8882-FD44-4E96EBCADA44}"/>
            </a:ext>
          </a:extLst>
        </xdr:cNvPr>
        <xdr:cNvSpPr/>
      </xdr:nvSpPr>
      <xdr:spPr>
        <a:xfrm>
          <a:off x="6350" y="0"/>
          <a:ext cx="7823200" cy="508000"/>
        </a:xfrm>
        <a:prstGeom prst="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JOB ANALYTICS DASHBOARD </a:t>
          </a:r>
        </a:p>
      </xdr:txBody>
    </xdr:sp>
    <xdr:clientData/>
  </xdr:twoCellAnchor>
  <xdr:twoCellAnchor>
    <xdr:from>
      <xdr:col>10</xdr:col>
      <xdr:colOff>165100</xdr:colOff>
      <xdr:row>0</xdr:row>
      <xdr:rowOff>95250</xdr:rowOff>
    </xdr:from>
    <xdr:to>
      <xdr:col>11</xdr:col>
      <xdr:colOff>444500</xdr:colOff>
      <xdr:row>2</xdr:row>
      <xdr:rowOff>57150</xdr:rowOff>
    </xdr:to>
    <xdr:sp macro="" textlink="">
      <xdr:nvSpPr>
        <xdr:cNvPr id="22" name="Rectangle 21">
          <a:hlinkClick xmlns:r="http://schemas.openxmlformats.org/officeDocument/2006/relationships" r:id="rId13"/>
          <a:extLst>
            <a:ext uri="{FF2B5EF4-FFF2-40B4-BE49-F238E27FC236}">
              <a16:creationId xmlns:a16="http://schemas.microsoft.com/office/drawing/2014/main" id="{F7515A96-F104-F758-F83E-A5A6450A0289}"/>
            </a:ext>
          </a:extLst>
        </xdr:cNvPr>
        <xdr:cNvSpPr/>
      </xdr:nvSpPr>
      <xdr:spPr>
        <a:xfrm>
          <a:off x="6775450" y="95250"/>
          <a:ext cx="889000" cy="330200"/>
        </a:xfrm>
        <a:prstGeom prst="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3B82F6"/>
              </a:solidFill>
            </a:rPr>
            <a:t>Raw_Data</a:t>
          </a:r>
        </a:p>
      </xdr:txBody>
    </xdr:sp>
    <xdr:clientData/>
  </xdr:twoCellAnchor>
  <xdr:twoCellAnchor>
    <xdr:from>
      <xdr:col>4</xdr:col>
      <xdr:colOff>590550</xdr:colOff>
      <xdr:row>4</xdr:row>
      <xdr:rowOff>44450</xdr:rowOff>
    </xdr:from>
    <xdr:to>
      <xdr:col>6</xdr:col>
      <xdr:colOff>247650</xdr:colOff>
      <xdr:row>5</xdr:row>
      <xdr:rowOff>177800</xdr:rowOff>
    </xdr:to>
    <xdr:sp macro="" textlink="Sheet2!D16">
      <xdr:nvSpPr>
        <xdr:cNvPr id="23" name="TextBox 22">
          <a:extLst>
            <a:ext uri="{FF2B5EF4-FFF2-40B4-BE49-F238E27FC236}">
              <a16:creationId xmlns:a16="http://schemas.microsoft.com/office/drawing/2014/main" id="{576B6FA0-BFDC-5DDE-B922-42767A94BB31}"/>
            </a:ext>
          </a:extLst>
        </xdr:cNvPr>
        <xdr:cNvSpPr txBox="1"/>
      </xdr:nvSpPr>
      <xdr:spPr>
        <a:xfrm>
          <a:off x="3543300" y="781050"/>
          <a:ext cx="876300" cy="3175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9DEBA4-BF70-4C8F-B15C-CF7EB96F5ECA}" type="TxLink">
            <a:rPr lang="en-US" sz="2000" b="1" i="0" u="none" strike="noStrike">
              <a:solidFill>
                <a:sysClr val="windowText" lastClr="000000"/>
              </a:solidFill>
              <a:latin typeface="Calibri"/>
              <a:cs typeface="Calibri"/>
            </a:rPr>
            <a:pPr algn="ctr"/>
            <a:t>4926</a:t>
          </a:fld>
          <a:endParaRPr lang="en-US" sz="2000" b="1">
            <a:solidFill>
              <a:sysClr val="windowText" lastClr="000000"/>
            </a:solidFill>
          </a:endParaRPr>
        </a:p>
      </xdr:txBody>
    </xdr:sp>
    <xdr:clientData/>
  </xdr:twoCellAnchor>
  <xdr:oneCellAnchor>
    <xdr:from>
      <xdr:col>2</xdr:col>
      <xdr:colOff>222250</xdr:colOff>
      <xdr:row>4</xdr:row>
      <xdr:rowOff>57150</xdr:rowOff>
    </xdr:from>
    <xdr:ext cx="692150" cy="298450"/>
    <xdr:sp macro="" textlink="Sheet2!G17">
      <xdr:nvSpPr>
        <xdr:cNvPr id="16" name="TextBox 15">
          <a:extLst>
            <a:ext uri="{FF2B5EF4-FFF2-40B4-BE49-F238E27FC236}">
              <a16:creationId xmlns:a16="http://schemas.microsoft.com/office/drawing/2014/main" id="{E26421F6-E04C-05C0-A9FB-2958376CC268}"/>
            </a:ext>
          </a:extLst>
        </xdr:cNvPr>
        <xdr:cNvSpPr txBox="1"/>
      </xdr:nvSpPr>
      <xdr:spPr>
        <a:xfrm>
          <a:off x="1441450" y="793750"/>
          <a:ext cx="692150" cy="298450"/>
        </a:xfrm>
        <a:prstGeom prst="rect">
          <a:avLst/>
        </a:prstGeom>
        <a:solidFill>
          <a:schemeClr val="tx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ED32487-9CE0-4E1B-B28D-06378917B374}" type="TxLink">
            <a:rPr lang="en-US" sz="1600" b="1" i="0" u="none" strike="noStrike">
              <a:solidFill>
                <a:schemeClr val="tx1"/>
              </a:solidFill>
              <a:latin typeface="Calibri"/>
              <a:cs typeface="Calibri"/>
            </a:rPr>
            <a:pPr/>
            <a:t>36</a:t>
          </a:fld>
          <a:endParaRPr lang="en-US" sz="1600" b="1">
            <a:solidFill>
              <a:schemeClr val="tx1"/>
            </a:solidFill>
          </a:endParaRPr>
        </a:p>
      </xdr:txBody>
    </xdr:sp>
    <xdr:clientData/>
  </xdr:oneCellAnchor>
  <xdr:oneCellAnchor>
    <xdr:from>
      <xdr:col>7</xdr:col>
      <xdr:colOff>533400</xdr:colOff>
      <xdr:row>4</xdr:row>
      <xdr:rowOff>57150</xdr:rowOff>
    </xdr:from>
    <xdr:ext cx="787400" cy="304800"/>
    <xdr:sp macro="" textlink="Sheet2!J19">
      <xdr:nvSpPr>
        <xdr:cNvPr id="24" name="TextBox 23">
          <a:extLst>
            <a:ext uri="{FF2B5EF4-FFF2-40B4-BE49-F238E27FC236}">
              <a16:creationId xmlns:a16="http://schemas.microsoft.com/office/drawing/2014/main" id="{0E34FF64-6EDB-4F28-D5B8-02779AD395AA}"/>
            </a:ext>
          </a:extLst>
        </xdr:cNvPr>
        <xdr:cNvSpPr txBox="1"/>
      </xdr:nvSpPr>
      <xdr:spPr>
        <a:xfrm>
          <a:off x="5314950" y="793750"/>
          <a:ext cx="787400" cy="304800"/>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649459B-41BB-439E-B50C-5563AB269045}" type="TxLink">
            <a:rPr lang="en-US" sz="1600" b="1" i="0" u="none" strike="noStrike">
              <a:solidFill>
                <a:schemeClr val="tx1"/>
              </a:solidFill>
              <a:latin typeface="Calibri"/>
              <a:cs typeface="Calibri"/>
            </a:rPr>
            <a:pPr/>
            <a:t>10</a:t>
          </a:fld>
          <a:endParaRPr lang="en-US" sz="1600" b="1">
            <a:solidFill>
              <a:schemeClr val="tx1"/>
            </a:solidFill>
          </a:endParaRPr>
        </a:p>
      </xdr:txBody>
    </xdr:sp>
    <xdr:clientData/>
  </xdr:oneCellAnchor>
  <xdr:oneCellAnchor>
    <xdr:from>
      <xdr:col>10</xdr:col>
      <xdr:colOff>400050</xdr:colOff>
      <xdr:row>4</xdr:row>
      <xdr:rowOff>44450</xdr:rowOff>
    </xdr:from>
    <xdr:ext cx="793750" cy="311150"/>
    <xdr:sp macro="" textlink="Sheet2!J18">
      <xdr:nvSpPr>
        <xdr:cNvPr id="25" name="TextBox 24">
          <a:extLst>
            <a:ext uri="{FF2B5EF4-FFF2-40B4-BE49-F238E27FC236}">
              <a16:creationId xmlns:a16="http://schemas.microsoft.com/office/drawing/2014/main" id="{CDD52BB0-5D39-7DC3-6BD7-2E9C96FD9A66}"/>
            </a:ext>
          </a:extLst>
        </xdr:cNvPr>
        <xdr:cNvSpPr txBox="1"/>
      </xdr:nvSpPr>
      <xdr:spPr>
        <a:xfrm>
          <a:off x="7010400" y="781050"/>
          <a:ext cx="793750" cy="311150"/>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D471349-58B6-455E-830E-1FFAF0353F88}" type="TxLink">
            <a:rPr lang="en-US" sz="1600" b="1" i="0" u="none" strike="noStrike">
              <a:solidFill>
                <a:schemeClr val="tx1"/>
              </a:solidFill>
              <a:latin typeface="Calibri"/>
              <a:cs typeface="Calibri"/>
            </a:rPr>
            <a:pPr/>
            <a:t>15</a:t>
          </a:fld>
          <a:endParaRPr lang="en-US" sz="1600" b="1">
            <a:solidFill>
              <a:schemeClr val="tx1"/>
            </a:solidFill>
          </a:endParaRPr>
        </a:p>
      </xdr:txBody>
    </xdr:sp>
    <xdr:clientData/>
  </xdr:oneCellAnchor>
  <xdr:oneCellAnchor>
    <xdr:from>
      <xdr:col>0</xdr:col>
      <xdr:colOff>190500</xdr:colOff>
      <xdr:row>0</xdr:row>
      <xdr:rowOff>146050</xdr:rowOff>
    </xdr:from>
    <xdr:ext cx="914400" cy="298450"/>
    <xdr:sp macro="" textlink="">
      <xdr:nvSpPr>
        <xdr:cNvPr id="26" name="TextBox 25">
          <a:hlinkClick xmlns:r="http://schemas.openxmlformats.org/officeDocument/2006/relationships" r:id="rId14"/>
          <a:extLst>
            <a:ext uri="{FF2B5EF4-FFF2-40B4-BE49-F238E27FC236}">
              <a16:creationId xmlns:a16="http://schemas.microsoft.com/office/drawing/2014/main" id="{4F9DCC22-4C27-5224-1866-0BD37126EA53}"/>
            </a:ext>
          </a:extLst>
        </xdr:cNvPr>
        <xdr:cNvSpPr txBox="1"/>
      </xdr:nvSpPr>
      <xdr:spPr>
        <a:xfrm>
          <a:off x="190500" y="146050"/>
          <a:ext cx="914400" cy="298450"/>
        </a:xfrm>
        <a:prstGeom prst="rect">
          <a:avLst/>
        </a:prstGeom>
        <a:gradFill>
          <a:gsLst>
            <a:gs pos="0">
              <a:schemeClr val="accent1">
                <a:lumMod val="5000"/>
                <a:lumOff val="95000"/>
              </a:schemeClr>
            </a:gs>
            <a:gs pos="67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tx2"/>
              </a:solidFill>
            </a:rPr>
            <a:t>Reports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177800</xdr:colOff>
      <xdr:row>1</xdr:row>
      <xdr:rowOff>120650</xdr:rowOff>
    </xdr:from>
    <xdr:to>
      <xdr:col>10</xdr:col>
      <xdr:colOff>158750</xdr:colOff>
      <xdr:row>15</xdr:row>
      <xdr:rowOff>171450</xdr:rowOff>
    </xdr:to>
    <xdr:graphicFrame macro="">
      <xdr:nvGraphicFramePr>
        <xdr:cNvPr id="2" name="Chart 1">
          <a:extLst>
            <a:ext uri="{FF2B5EF4-FFF2-40B4-BE49-F238E27FC236}">
              <a16:creationId xmlns:a16="http://schemas.microsoft.com/office/drawing/2014/main" id="{A1FC96B0-077C-763B-4E30-38CDCEECD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234950</xdr:colOff>
      <xdr:row>19</xdr:row>
      <xdr:rowOff>19050</xdr:rowOff>
    </xdr:from>
    <xdr:to>
      <xdr:col>7</xdr:col>
      <xdr:colOff>450850</xdr:colOff>
      <xdr:row>32</xdr:row>
      <xdr:rowOff>139700</xdr:rowOff>
    </xdr:to>
    <xdr:graphicFrame macro="">
      <xdr:nvGraphicFramePr>
        <xdr:cNvPr id="3" name="Chart 2">
          <a:extLst>
            <a:ext uri="{FF2B5EF4-FFF2-40B4-BE49-F238E27FC236}">
              <a16:creationId xmlns:a16="http://schemas.microsoft.com/office/drawing/2014/main" id="{DBF7CDB7-5DCB-3DE2-F879-98B94FCB0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501650</xdr:colOff>
      <xdr:row>2</xdr:row>
      <xdr:rowOff>146050</xdr:rowOff>
    </xdr:from>
    <xdr:to>
      <xdr:col>22</xdr:col>
      <xdr:colOff>133350</xdr:colOff>
      <xdr:row>16</xdr:row>
      <xdr:rowOff>63500</xdr:rowOff>
    </xdr:to>
    <xdr:graphicFrame macro="">
      <xdr:nvGraphicFramePr>
        <xdr:cNvPr id="4" name="Chart 3">
          <a:extLst>
            <a:ext uri="{FF2B5EF4-FFF2-40B4-BE49-F238E27FC236}">
              <a16:creationId xmlns:a16="http://schemas.microsoft.com/office/drawing/2014/main" id="{639E9B10-6F03-6795-B9E5-7EA3DA1A0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24</xdr:row>
      <xdr:rowOff>0</xdr:rowOff>
    </xdr:from>
    <xdr:to>
      <xdr:col>12</xdr:col>
      <xdr:colOff>0</xdr:colOff>
      <xdr:row>34</xdr:row>
      <xdr:rowOff>63500</xdr:rowOff>
    </xdr:to>
    <mc:AlternateContent xmlns:mc="http://schemas.openxmlformats.org/markup-compatibility/2006" xmlns:a14="http://schemas.microsoft.com/office/drawing/2010/main">
      <mc:Choice Requires="a14">
        <xdr:graphicFrame macro="">
          <xdr:nvGraphicFramePr>
            <xdr:cNvPr id="8" name="Location 1">
              <a:extLst>
                <a:ext uri="{FF2B5EF4-FFF2-40B4-BE49-F238E27FC236}">
                  <a16:creationId xmlns:a16="http://schemas.microsoft.com/office/drawing/2014/main" id="{2A2068F9-07B0-4D8A-97E4-CC8521E2B8C0}"/>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6242050" y="4419600"/>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31.691493749997" createdVersion="8" refreshedVersion="8" minRefreshableVersion="3" recordCount="500" xr:uid="{CC997205-1034-4D18-89AF-BFB3E25BA241}">
  <cacheSource type="worksheet">
    <worksheetSource name="JobsData"/>
  </cacheSource>
  <cacheFields count="10">
    <cacheField name="Job_ID" numFmtId="0">
      <sharedItems containsSemiMixedTypes="0" containsString="0" containsNumber="1" containsInteger="1" minValue="1" maxValue="500" count="5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sharedItems>
    </cacheField>
    <cacheField name="Job_Title" numFmtId="0">
      <sharedItems/>
    </cacheField>
    <cacheField name="Company" numFmtId="0">
      <sharedItems/>
    </cacheField>
    <cacheField name="Location" numFmtId="0">
      <sharedItems count="5">
        <s v="Mumbai"/>
        <s v="Bangalore"/>
        <s v="Pune"/>
        <s v="Delhi"/>
        <s v="Hyderabad"/>
      </sharedItems>
    </cacheField>
    <cacheField name="Salary" numFmtId="0">
      <sharedItems/>
    </cacheField>
    <cacheField name="Experience" numFmtId="0">
      <sharedItems count="3">
        <s v="Fresher"/>
        <s v="1-3 yrs"/>
        <s v="3+ yrs"/>
      </sharedItems>
    </cacheField>
    <cacheField name="Applicants" numFmtId="0">
      <sharedItems containsSemiMixedTypes="0" containsString="0" containsNumber="1" containsInteger="1" minValue="20" maxValue="300"/>
    </cacheField>
    <cacheField name="Skills" numFmtId="0">
      <sharedItems count="6">
        <s v="React"/>
        <s v="SQL"/>
        <s v="Excel"/>
        <s v="Java"/>
        <s v="Python"/>
        <s v="NodeJS"/>
      </sharedItems>
    </cacheField>
    <cacheField name="Status" numFmtId="0">
      <sharedItems count="3">
        <s v="Rejected"/>
        <s v="Pending"/>
        <s v="Selected"/>
      </sharedItems>
    </cacheField>
    <cacheField name="Date" numFmtId="0">
      <sharedItems count="12">
        <s v="Jul"/>
        <s v="Dec"/>
        <s v="Mar"/>
        <s v="Jan"/>
        <s v="Aug"/>
        <s v="Sep"/>
        <s v="Nov"/>
        <s v="Apr"/>
        <s v="Oct"/>
        <s v="May"/>
        <s v="Feb"/>
        <s v="Jun"/>
      </sharedItems>
    </cacheField>
  </cacheFields>
  <extLst>
    <ext xmlns:x14="http://schemas.microsoft.com/office/spreadsheetml/2009/9/main" uri="{725AE2AE-9491-48be-B2B4-4EB974FC3084}">
      <x14:pivotCacheDefinition pivotCacheId="1179471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Frontend Developer"/>
    <s v="Accenture"/>
    <x v="0"/>
    <s v="6 LPA"/>
    <x v="0"/>
    <n v="67"/>
    <x v="0"/>
    <x v="0"/>
    <x v="0"/>
  </r>
  <r>
    <x v="1"/>
    <s v="HR Manager"/>
    <s v="TCS"/>
    <x v="1"/>
    <s v="8 LPA"/>
    <x v="1"/>
    <n v="46"/>
    <x v="1"/>
    <x v="1"/>
    <x v="1"/>
  </r>
  <r>
    <x v="2"/>
    <s v="HR Manager"/>
    <s v="Capgemini"/>
    <x v="2"/>
    <s v="5 LPA"/>
    <x v="1"/>
    <n v="121"/>
    <x v="2"/>
    <x v="0"/>
    <x v="1"/>
  </r>
  <r>
    <x v="3"/>
    <s v="Frontend Developer"/>
    <s v="HCL"/>
    <x v="1"/>
    <s v="7 LPA"/>
    <x v="2"/>
    <n v="74"/>
    <x v="3"/>
    <x v="1"/>
    <x v="2"/>
  </r>
  <r>
    <x v="4"/>
    <s v="Software Engineer"/>
    <s v="HCL"/>
    <x v="3"/>
    <s v="10 LPA"/>
    <x v="2"/>
    <n v="178"/>
    <x v="4"/>
    <x v="1"/>
    <x v="3"/>
  </r>
  <r>
    <x v="5"/>
    <s v="Software Engineer"/>
    <s v="Capgemini"/>
    <x v="2"/>
    <s v="12 LPA"/>
    <x v="1"/>
    <n v="179"/>
    <x v="2"/>
    <x v="2"/>
    <x v="4"/>
  </r>
  <r>
    <x v="6"/>
    <s v="HR Manager"/>
    <s v="HCL"/>
    <x v="1"/>
    <s v="7 LPA"/>
    <x v="1"/>
    <n v="297"/>
    <x v="3"/>
    <x v="2"/>
    <x v="4"/>
  </r>
  <r>
    <x v="7"/>
    <s v="Software Engineer"/>
    <s v="Capgemini"/>
    <x v="2"/>
    <s v="8 LPA"/>
    <x v="2"/>
    <n v="45"/>
    <x v="1"/>
    <x v="2"/>
    <x v="5"/>
  </r>
  <r>
    <x v="8"/>
    <s v="Data Analyst"/>
    <s v="Infosys"/>
    <x v="3"/>
    <s v="7 LPA"/>
    <x v="1"/>
    <n v="211"/>
    <x v="0"/>
    <x v="2"/>
    <x v="1"/>
  </r>
  <r>
    <x v="9"/>
    <s v="Web Developer"/>
    <s v="Wipro"/>
    <x v="1"/>
    <s v="4 LPA"/>
    <x v="1"/>
    <n v="41"/>
    <x v="2"/>
    <x v="1"/>
    <x v="6"/>
  </r>
  <r>
    <x v="10"/>
    <s v="Web Developer"/>
    <s v="Capgemini"/>
    <x v="3"/>
    <s v="5 LPA"/>
    <x v="1"/>
    <n v="248"/>
    <x v="4"/>
    <x v="0"/>
    <x v="6"/>
  </r>
  <r>
    <x v="11"/>
    <s v="Data Analyst"/>
    <s v="Capgemini"/>
    <x v="0"/>
    <s v="6 LPA"/>
    <x v="2"/>
    <n v="241"/>
    <x v="4"/>
    <x v="0"/>
    <x v="7"/>
  </r>
  <r>
    <x v="12"/>
    <s v="Frontend Developer"/>
    <s v="Capgemini"/>
    <x v="4"/>
    <s v="7 LPA"/>
    <x v="2"/>
    <n v="269"/>
    <x v="4"/>
    <x v="0"/>
    <x v="8"/>
  </r>
  <r>
    <x v="13"/>
    <s v="Software Engineer"/>
    <s v="Accenture"/>
    <x v="4"/>
    <s v="7 LPA"/>
    <x v="2"/>
    <n v="209"/>
    <x v="5"/>
    <x v="0"/>
    <x v="9"/>
  </r>
  <r>
    <x v="14"/>
    <s v="HR Manager"/>
    <s v="Accenture"/>
    <x v="0"/>
    <s v="3 LPA"/>
    <x v="2"/>
    <n v="115"/>
    <x v="1"/>
    <x v="1"/>
    <x v="10"/>
  </r>
  <r>
    <x v="15"/>
    <s v="Web Developer"/>
    <s v="Capgemini"/>
    <x v="3"/>
    <s v="3 LPA"/>
    <x v="1"/>
    <n v="44"/>
    <x v="5"/>
    <x v="2"/>
    <x v="4"/>
  </r>
  <r>
    <x v="16"/>
    <s v="Web Developer"/>
    <s v="HCL"/>
    <x v="4"/>
    <s v="7 LPA"/>
    <x v="2"/>
    <n v="149"/>
    <x v="2"/>
    <x v="0"/>
    <x v="0"/>
  </r>
  <r>
    <x v="17"/>
    <s v="Web Developer"/>
    <s v="Accenture"/>
    <x v="2"/>
    <s v="10 LPA"/>
    <x v="1"/>
    <n v="240"/>
    <x v="1"/>
    <x v="0"/>
    <x v="11"/>
  </r>
  <r>
    <x v="18"/>
    <s v="Backend Developer"/>
    <s v="HCL"/>
    <x v="0"/>
    <s v="4 LPA"/>
    <x v="1"/>
    <n v="115"/>
    <x v="2"/>
    <x v="0"/>
    <x v="9"/>
  </r>
  <r>
    <x v="19"/>
    <s v="Software Engineer"/>
    <s v="Capgemini"/>
    <x v="0"/>
    <s v="4 LPA"/>
    <x v="0"/>
    <n v="47"/>
    <x v="3"/>
    <x v="1"/>
    <x v="7"/>
  </r>
  <r>
    <x v="20"/>
    <s v="Backend Developer"/>
    <s v="Capgemini"/>
    <x v="4"/>
    <s v="8 LPA"/>
    <x v="1"/>
    <n v="257"/>
    <x v="3"/>
    <x v="1"/>
    <x v="0"/>
  </r>
  <r>
    <x v="21"/>
    <s v="Data Analyst"/>
    <s v="TCS"/>
    <x v="2"/>
    <s v="4 LPA"/>
    <x v="1"/>
    <n v="37"/>
    <x v="4"/>
    <x v="1"/>
    <x v="4"/>
  </r>
  <r>
    <x v="22"/>
    <s v="Software Engineer"/>
    <s v="Wipro"/>
    <x v="4"/>
    <s v="7 LPA"/>
    <x v="1"/>
    <n v="291"/>
    <x v="2"/>
    <x v="2"/>
    <x v="3"/>
  </r>
  <r>
    <x v="23"/>
    <s v="Data Analyst"/>
    <s v="Capgemini"/>
    <x v="1"/>
    <s v="9 LPA"/>
    <x v="0"/>
    <n v="225"/>
    <x v="3"/>
    <x v="1"/>
    <x v="2"/>
  </r>
  <r>
    <x v="24"/>
    <s v="Frontend Developer"/>
    <s v="TCS"/>
    <x v="4"/>
    <s v="3 LPA"/>
    <x v="2"/>
    <n v="295"/>
    <x v="3"/>
    <x v="1"/>
    <x v="8"/>
  </r>
  <r>
    <x v="25"/>
    <s v="Web Developer"/>
    <s v="TCS"/>
    <x v="3"/>
    <s v="8 LPA"/>
    <x v="0"/>
    <n v="248"/>
    <x v="1"/>
    <x v="1"/>
    <x v="1"/>
  </r>
  <r>
    <x v="26"/>
    <s v="Backend Developer"/>
    <s v="Accenture"/>
    <x v="4"/>
    <s v="9 LPA"/>
    <x v="1"/>
    <n v="257"/>
    <x v="4"/>
    <x v="2"/>
    <x v="4"/>
  </r>
  <r>
    <x v="27"/>
    <s v="HR Manager"/>
    <s v="TCS"/>
    <x v="3"/>
    <s v="7 LPA"/>
    <x v="0"/>
    <n v="20"/>
    <x v="4"/>
    <x v="2"/>
    <x v="3"/>
  </r>
  <r>
    <x v="28"/>
    <s v="HR Manager"/>
    <s v="Infosys"/>
    <x v="3"/>
    <s v="7 LPA"/>
    <x v="2"/>
    <n v="94"/>
    <x v="3"/>
    <x v="2"/>
    <x v="0"/>
  </r>
  <r>
    <x v="29"/>
    <s v="Backend Developer"/>
    <s v="TCS"/>
    <x v="0"/>
    <s v="12 LPA"/>
    <x v="2"/>
    <n v="207"/>
    <x v="1"/>
    <x v="2"/>
    <x v="6"/>
  </r>
  <r>
    <x v="30"/>
    <s v="Backend Developer"/>
    <s v="Wipro"/>
    <x v="2"/>
    <s v="6 LPA"/>
    <x v="2"/>
    <n v="286"/>
    <x v="4"/>
    <x v="2"/>
    <x v="8"/>
  </r>
  <r>
    <x v="31"/>
    <s v="Frontend Developer"/>
    <s v="Infosys"/>
    <x v="2"/>
    <s v="6 LPA"/>
    <x v="2"/>
    <n v="191"/>
    <x v="3"/>
    <x v="0"/>
    <x v="9"/>
  </r>
  <r>
    <x v="32"/>
    <s v="Data Analyst"/>
    <s v="Capgemini"/>
    <x v="0"/>
    <s v="7 LPA"/>
    <x v="1"/>
    <n v="218"/>
    <x v="3"/>
    <x v="1"/>
    <x v="8"/>
  </r>
  <r>
    <x v="33"/>
    <s v="Web Developer"/>
    <s v="Infosys"/>
    <x v="3"/>
    <s v="8 LPA"/>
    <x v="2"/>
    <n v="67"/>
    <x v="3"/>
    <x v="1"/>
    <x v="10"/>
  </r>
  <r>
    <x v="34"/>
    <s v="Software Engineer"/>
    <s v="Wipro"/>
    <x v="1"/>
    <s v="7 LPA"/>
    <x v="2"/>
    <n v="258"/>
    <x v="3"/>
    <x v="1"/>
    <x v="8"/>
  </r>
  <r>
    <x v="35"/>
    <s v="Web Developer"/>
    <s v="Accenture"/>
    <x v="2"/>
    <s v="9 LPA"/>
    <x v="1"/>
    <n v="22"/>
    <x v="0"/>
    <x v="2"/>
    <x v="11"/>
  </r>
  <r>
    <x v="36"/>
    <s v="Data Analyst"/>
    <s v="TCS"/>
    <x v="3"/>
    <s v="6 LPA"/>
    <x v="2"/>
    <n v="289"/>
    <x v="3"/>
    <x v="2"/>
    <x v="6"/>
  </r>
  <r>
    <x v="37"/>
    <s v="Frontend Developer"/>
    <s v="Capgemini"/>
    <x v="2"/>
    <s v="12 LPA"/>
    <x v="2"/>
    <n v="88"/>
    <x v="4"/>
    <x v="1"/>
    <x v="8"/>
  </r>
  <r>
    <x v="38"/>
    <s v="Software Engineer"/>
    <s v="Wipro"/>
    <x v="4"/>
    <s v="3 LPA"/>
    <x v="1"/>
    <n v="51"/>
    <x v="5"/>
    <x v="0"/>
    <x v="10"/>
  </r>
  <r>
    <x v="39"/>
    <s v="Web Developer"/>
    <s v="TCS"/>
    <x v="1"/>
    <s v="12 LPA"/>
    <x v="0"/>
    <n v="126"/>
    <x v="5"/>
    <x v="1"/>
    <x v="1"/>
  </r>
  <r>
    <x v="40"/>
    <s v="Web Developer"/>
    <s v="Infosys"/>
    <x v="0"/>
    <s v="5 LPA"/>
    <x v="0"/>
    <n v="102"/>
    <x v="5"/>
    <x v="0"/>
    <x v="7"/>
  </r>
  <r>
    <x v="41"/>
    <s v="Software Engineer"/>
    <s v="Infosys"/>
    <x v="3"/>
    <s v="4 LPA"/>
    <x v="2"/>
    <n v="263"/>
    <x v="0"/>
    <x v="0"/>
    <x v="11"/>
  </r>
  <r>
    <x v="42"/>
    <s v="Backend Developer"/>
    <s v="HCL"/>
    <x v="3"/>
    <s v="9 LPA"/>
    <x v="2"/>
    <n v="67"/>
    <x v="1"/>
    <x v="1"/>
    <x v="11"/>
  </r>
  <r>
    <x v="43"/>
    <s v="Data Analyst"/>
    <s v="HCL"/>
    <x v="3"/>
    <s v="3 LPA"/>
    <x v="2"/>
    <n v="276"/>
    <x v="5"/>
    <x v="2"/>
    <x v="2"/>
  </r>
  <r>
    <x v="44"/>
    <s v="Frontend Developer"/>
    <s v="Wipro"/>
    <x v="2"/>
    <s v="7 LPA"/>
    <x v="2"/>
    <n v="97"/>
    <x v="3"/>
    <x v="0"/>
    <x v="6"/>
  </r>
  <r>
    <x v="45"/>
    <s v="Software Engineer"/>
    <s v="Wipro"/>
    <x v="0"/>
    <s v="11 LPA"/>
    <x v="1"/>
    <n v="103"/>
    <x v="3"/>
    <x v="2"/>
    <x v="7"/>
  </r>
  <r>
    <x v="46"/>
    <s v="Data Analyst"/>
    <s v="Infosys"/>
    <x v="3"/>
    <s v="9 LPA"/>
    <x v="2"/>
    <n v="281"/>
    <x v="3"/>
    <x v="1"/>
    <x v="9"/>
  </r>
  <r>
    <x v="47"/>
    <s v="Web Developer"/>
    <s v="Capgemini"/>
    <x v="4"/>
    <s v="12 LPA"/>
    <x v="2"/>
    <n v="105"/>
    <x v="0"/>
    <x v="0"/>
    <x v="8"/>
  </r>
  <r>
    <x v="48"/>
    <s v="Backend Developer"/>
    <s v="Wipro"/>
    <x v="2"/>
    <s v="10 LPA"/>
    <x v="1"/>
    <n v="274"/>
    <x v="1"/>
    <x v="0"/>
    <x v="11"/>
  </r>
  <r>
    <x v="49"/>
    <s v="HR Manager"/>
    <s v="TCS"/>
    <x v="0"/>
    <s v="12 LPA"/>
    <x v="2"/>
    <n v="113"/>
    <x v="5"/>
    <x v="1"/>
    <x v="2"/>
  </r>
  <r>
    <x v="50"/>
    <s v="Backend Developer"/>
    <s v="TCS"/>
    <x v="3"/>
    <s v="9 LPA"/>
    <x v="0"/>
    <n v="291"/>
    <x v="1"/>
    <x v="0"/>
    <x v="10"/>
  </r>
  <r>
    <x v="51"/>
    <s v="Frontend Developer"/>
    <s v="Infosys"/>
    <x v="0"/>
    <s v="11 LPA"/>
    <x v="1"/>
    <n v="77"/>
    <x v="0"/>
    <x v="0"/>
    <x v="8"/>
  </r>
  <r>
    <x v="52"/>
    <s v="Frontend Developer"/>
    <s v="TCS"/>
    <x v="3"/>
    <s v="4 LPA"/>
    <x v="2"/>
    <n v="56"/>
    <x v="4"/>
    <x v="1"/>
    <x v="3"/>
  </r>
  <r>
    <x v="53"/>
    <s v="HR Manager"/>
    <s v="HCL"/>
    <x v="2"/>
    <s v="5 LPA"/>
    <x v="0"/>
    <n v="172"/>
    <x v="1"/>
    <x v="2"/>
    <x v="5"/>
  </r>
  <r>
    <x v="54"/>
    <s v="Data Analyst"/>
    <s v="TCS"/>
    <x v="0"/>
    <s v="10 LPA"/>
    <x v="2"/>
    <n v="101"/>
    <x v="2"/>
    <x v="1"/>
    <x v="10"/>
  </r>
  <r>
    <x v="55"/>
    <s v="Frontend Developer"/>
    <s v="HCL"/>
    <x v="1"/>
    <s v="12 LPA"/>
    <x v="2"/>
    <n v="156"/>
    <x v="0"/>
    <x v="2"/>
    <x v="11"/>
  </r>
  <r>
    <x v="56"/>
    <s v="Software Engineer"/>
    <s v="Capgemini"/>
    <x v="3"/>
    <s v="5 LPA"/>
    <x v="1"/>
    <n v="46"/>
    <x v="5"/>
    <x v="1"/>
    <x v="3"/>
  </r>
  <r>
    <x v="57"/>
    <s v="Software Engineer"/>
    <s v="Accenture"/>
    <x v="2"/>
    <s v="8 LPA"/>
    <x v="2"/>
    <n v="265"/>
    <x v="4"/>
    <x v="2"/>
    <x v="0"/>
  </r>
  <r>
    <x v="58"/>
    <s v="Data Analyst"/>
    <s v="Wipro"/>
    <x v="0"/>
    <s v="6 LPA"/>
    <x v="0"/>
    <n v="138"/>
    <x v="2"/>
    <x v="0"/>
    <x v="8"/>
  </r>
  <r>
    <x v="59"/>
    <s v="Backend Developer"/>
    <s v="Capgemini"/>
    <x v="1"/>
    <s v="3 LPA"/>
    <x v="1"/>
    <n v="88"/>
    <x v="5"/>
    <x v="0"/>
    <x v="7"/>
  </r>
  <r>
    <x v="60"/>
    <s v="Web Developer"/>
    <s v="TCS"/>
    <x v="3"/>
    <s v="8 LPA"/>
    <x v="2"/>
    <n v="168"/>
    <x v="1"/>
    <x v="1"/>
    <x v="4"/>
  </r>
  <r>
    <x v="61"/>
    <s v="Software Engineer"/>
    <s v="Wipro"/>
    <x v="0"/>
    <s v="9 LPA"/>
    <x v="0"/>
    <n v="269"/>
    <x v="3"/>
    <x v="2"/>
    <x v="6"/>
  </r>
  <r>
    <x v="62"/>
    <s v="Backend Developer"/>
    <s v="Infosys"/>
    <x v="0"/>
    <s v="11 LPA"/>
    <x v="0"/>
    <n v="38"/>
    <x v="1"/>
    <x v="0"/>
    <x v="2"/>
  </r>
  <r>
    <x v="63"/>
    <s v="Frontend Developer"/>
    <s v="TCS"/>
    <x v="3"/>
    <s v="5 LPA"/>
    <x v="2"/>
    <n v="127"/>
    <x v="3"/>
    <x v="2"/>
    <x v="1"/>
  </r>
  <r>
    <x v="64"/>
    <s v="HR Manager"/>
    <s v="Capgemini"/>
    <x v="2"/>
    <s v="12 LPA"/>
    <x v="0"/>
    <n v="66"/>
    <x v="5"/>
    <x v="1"/>
    <x v="10"/>
  </r>
  <r>
    <x v="65"/>
    <s v="Backend Developer"/>
    <s v="Wipro"/>
    <x v="0"/>
    <s v="8 LPA"/>
    <x v="1"/>
    <n v="29"/>
    <x v="1"/>
    <x v="0"/>
    <x v="7"/>
  </r>
  <r>
    <x v="66"/>
    <s v="Web Developer"/>
    <s v="Infosys"/>
    <x v="2"/>
    <s v="11 LPA"/>
    <x v="2"/>
    <n v="168"/>
    <x v="0"/>
    <x v="0"/>
    <x v="0"/>
  </r>
  <r>
    <x v="67"/>
    <s v="Web Developer"/>
    <s v="Capgemini"/>
    <x v="2"/>
    <s v="5 LPA"/>
    <x v="1"/>
    <n v="130"/>
    <x v="0"/>
    <x v="1"/>
    <x v="11"/>
  </r>
  <r>
    <x v="68"/>
    <s v="Data Analyst"/>
    <s v="Accenture"/>
    <x v="4"/>
    <s v="12 LPA"/>
    <x v="1"/>
    <n v="227"/>
    <x v="4"/>
    <x v="0"/>
    <x v="4"/>
  </r>
  <r>
    <x v="69"/>
    <s v="Frontend Developer"/>
    <s v="Wipro"/>
    <x v="0"/>
    <s v="4 LPA"/>
    <x v="2"/>
    <n v="276"/>
    <x v="0"/>
    <x v="2"/>
    <x v="9"/>
  </r>
  <r>
    <x v="70"/>
    <s v="Backend Developer"/>
    <s v="Capgemini"/>
    <x v="3"/>
    <s v="3 LPA"/>
    <x v="0"/>
    <n v="169"/>
    <x v="1"/>
    <x v="1"/>
    <x v="9"/>
  </r>
  <r>
    <x v="71"/>
    <s v="HR Manager"/>
    <s v="HCL"/>
    <x v="3"/>
    <s v="8 LPA"/>
    <x v="1"/>
    <n v="130"/>
    <x v="1"/>
    <x v="0"/>
    <x v="9"/>
  </r>
  <r>
    <x v="72"/>
    <s v="Backend Developer"/>
    <s v="HCL"/>
    <x v="1"/>
    <s v="11 LPA"/>
    <x v="0"/>
    <n v="113"/>
    <x v="3"/>
    <x v="1"/>
    <x v="9"/>
  </r>
  <r>
    <x v="73"/>
    <s v="Web Developer"/>
    <s v="Accenture"/>
    <x v="3"/>
    <s v="5 LPA"/>
    <x v="1"/>
    <n v="95"/>
    <x v="4"/>
    <x v="1"/>
    <x v="4"/>
  </r>
  <r>
    <x v="74"/>
    <s v="Software Engineer"/>
    <s v="TCS"/>
    <x v="2"/>
    <s v="10 LPA"/>
    <x v="2"/>
    <n v="101"/>
    <x v="3"/>
    <x v="1"/>
    <x v="2"/>
  </r>
  <r>
    <x v="75"/>
    <s v="Backend Developer"/>
    <s v="TCS"/>
    <x v="1"/>
    <s v="4 LPA"/>
    <x v="0"/>
    <n v="122"/>
    <x v="5"/>
    <x v="1"/>
    <x v="9"/>
  </r>
  <r>
    <x v="76"/>
    <s v="Software Engineer"/>
    <s v="Infosys"/>
    <x v="3"/>
    <s v="7 LPA"/>
    <x v="2"/>
    <n v="167"/>
    <x v="1"/>
    <x v="0"/>
    <x v="4"/>
  </r>
  <r>
    <x v="77"/>
    <s v="HR Manager"/>
    <s v="TCS"/>
    <x v="3"/>
    <s v="7 LPA"/>
    <x v="2"/>
    <n v="39"/>
    <x v="1"/>
    <x v="0"/>
    <x v="11"/>
  </r>
  <r>
    <x v="78"/>
    <s v="Data Analyst"/>
    <s v="Infosys"/>
    <x v="4"/>
    <s v="6 LPA"/>
    <x v="2"/>
    <n v="241"/>
    <x v="3"/>
    <x v="2"/>
    <x v="4"/>
  </r>
  <r>
    <x v="79"/>
    <s v="HR Manager"/>
    <s v="Capgemini"/>
    <x v="2"/>
    <s v="11 LPA"/>
    <x v="1"/>
    <n v="160"/>
    <x v="1"/>
    <x v="2"/>
    <x v="9"/>
  </r>
  <r>
    <x v="80"/>
    <s v="Software Engineer"/>
    <s v="HCL"/>
    <x v="0"/>
    <s v="5 LPA"/>
    <x v="0"/>
    <n v="162"/>
    <x v="3"/>
    <x v="1"/>
    <x v="8"/>
  </r>
  <r>
    <x v="81"/>
    <s v="Data Analyst"/>
    <s v="Infosys"/>
    <x v="4"/>
    <s v="7 LPA"/>
    <x v="2"/>
    <n v="36"/>
    <x v="4"/>
    <x v="0"/>
    <x v="11"/>
  </r>
  <r>
    <x v="82"/>
    <s v="Backend Developer"/>
    <s v="Wipro"/>
    <x v="3"/>
    <s v="8 LPA"/>
    <x v="1"/>
    <n v="86"/>
    <x v="3"/>
    <x v="0"/>
    <x v="9"/>
  </r>
  <r>
    <x v="83"/>
    <s v="HR Manager"/>
    <s v="Wipro"/>
    <x v="4"/>
    <s v="10 LPA"/>
    <x v="1"/>
    <n v="107"/>
    <x v="5"/>
    <x v="0"/>
    <x v="1"/>
  </r>
  <r>
    <x v="84"/>
    <s v="HR Manager"/>
    <s v="Capgemini"/>
    <x v="3"/>
    <s v="5 LPA"/>
    <x v="1"/>
    <n v="48"/>
    <x v="3"/>
    <x v="1"/>
    <x v="8"/>
  </r>
  <r>
    <x v="85"/>
    <s v="HR Manager"/>
    <s v="HCL"/>
    <x v="4"/>
    <s v="9 LPA"/>
    <x v="1"/>
    <n v="242"/>
    <x v="1"/>
    <x v="2"/>
    <x v="6"/>
  </r>
  <r>
    <x v="86"/>
    <s v="HR Manager"/>
    <s v="HCL"/>
    <x v="4"/>
    <s v="10 LPA"/>
    <x v="2"/>
    <n v="59"/>
    <x v="5"/>
    <x v="2"/>
    <x v="1"/>
  </r>
  <r>
    <x v="87"/>
    <s v="HR Manager"/>
    <s v="TCS"/>
    <x v="1"/>
    <s v="4 LPA"/>
    <x v="1"/>
    <n v="291"/>
    <x v="3"/>
    <x v="2"/>
    <x v="8"/>
  </r>
  <r>
    <x v="88"/>
    <s v="Web Developer"/>
    <s v="TCS"/>
    <x v="1"/>
    <s v="9 LPA"/>
    <x v="0"/>
    <n v="167"/>
    <x v="4"/>
    <x v="2"/>
    <x v="0"/>
  </r>
  <r>
    <x v="89"/>
    <s v="Web Developer"/>
    <s v="HCL"/>
    <x v="0"/>
    <s v="11 LPA"/>
    <x v="0"/>
    <n v="23"/>
    <x v="3"/>
    <x v="1"/>
    <x v="4"/>
  </r>
  <r>
    <x v="90"/>
    <s v="Software Engineer"/>
    <s v="Capgemini"/>
    <x v="3"/>
    <s v="6 LPA"/>
    <x v="1"/>
    <n v="178"/>
    <x v="4"/>
    <x v="0"/>
    <x v="3"/>
  </r>
  <r>
    <x v="91"/>
    <s v="HR Manager"/>
    <s v="HCL"/>
    <x v="2"/>
    <s v="12 LPA"/>
    <x v="1"/>
    <n v="89"/>
    <x v="3"/>
    <x v="0"/>
    <x v="7"/>
  </r>
  <r>
    <x v="92"/>
    <s v="Backend Developer"/>
    <s v="TCS"/>
    <x v="2"/>
    <s v="8 LPA"/>
    <x v="1"/>
    <n v="161"/>
    <x v="5"/>
    <x v="1"/>
    <x v="8"/>
  </r>
  <r>
    <x v="93"/>
    <s v="Backend Developer"/>
    <s v="Infosys"/>
    <x v="4"/>
    <s v="3 LPA"/>
    <x v="2"/>
    <n v="170"/>
    <x v="5"/>
    <x v="1"/>
    <x v="5"/>
  </r>
  <r>
    <x v="94"/>
    <s v="HR Manager"/>
    <s v="Wipro"/>
    <x v="0"/>
    <s v="4 LPA"/>
    <x v="0"/>
    <n v="109"/>
    <x v="4"/>
    <x v="0"/>
    <x v="5"/>
  </r>
  <r>
    <x v="95"/>
    <s v="Frontend Developer"/>
    <s v="Accenture"/>
    <x v="0"/>
    <s v="11 LPA"/>
    <x v="0"/>
    <n v="179"/>
    <x v="5"/>
    <x v="0"/>
    <x v="1"/>
  </r>
  <r>
    <x v="96"/>
    <s v="HR Manager"/>
    <s v="HCL"/>
    <x v="0"/>
    <s v="11 LPA"/>
    <x v="1"/>
    <n v="160"/>
    <x v="0"/>
    <x v="0"/>
    <x v="4"/>
  </r>
  <r>
    <x v="97"/>
    <s v="Frontend Developer"/>
    <s v="HCL"/>
    <x v="2"/>
    <s v="12 LPA"/>
    <x v="0"/>
    <n v="253"/>
    <x v="5"/>
    <x v="0"/>
    <x v="3"/>
  </r>
  <r>
    <x v="98"/>
    <s v="Backend Developer"/>
    <s v="Accenture"/>
    <x v="2"/>
    <s v="12 LPA"/>
    <x v="2"/>
    <n v="30"/>
    <x v="2"/>
    <x v="1"/>
    <x v="4"/>
  </r>
  <r>
    <x v="99"/>
    <s v="HR Manager"/>
    <s v="TCS"/>
    <x v="0"/>
    <s v="6 LPA"/>
    <x v="0"/>
    <n v="100"/>
    <x v="4"/>
    <x v="0"/>
    <x v="4"/>
  </r>
  <r>
    <x v="100"/>
    <s v="Frontend Developer"/>
    <s v="Accenture"/>
    <x v="2"/>
    <s v="12 LPA"/>
    <x v="1"/>
    <n v="245"/>
    <x v="0"/>
    <x v="2"/>
    <x v="3"/>
  </r>
  <r>
    <x v="101"/>
    <s v="Data Analyst"/>
    <s v="Wipro"/>
    <x v="0"/>
    <s v="9 LPA"/>
    <x v="1"/>
    <n v="73"/>
    <x v="2"/>
    <x v="0"/>
    <x v="0"/>
  </r>
  <r>
    <x v="102"/>
    <s v="Web Developer"/>
    <s v="Infosys"/>
    <x v="2"/>
    <s v="3 LPA"/>
    <x v="0"/>
    <n v="242"/>
    <x v="4"/>
    <x v="2"/>
    <x v="2"/>
  </r>
  <r>
    <x v="103"/>
    <s v="Data Analyst"/>
    <s v="Capgemini"/>
    <x v="0"/>
    <s v="11 LPA"/>
    <x v="2"/>
    <n v="133"/>
    <x v="3"/>
    <x v="0"/>
    <x v="0"/>
  </r>
  <r>
    <x v="104"/>
    <s v="Data Analyst"/>
    <s v="TCS"/>
    <x v="0"/>
    <s v="7 LPA"/>
    <x v="0"/>
    <n v="272"/>
    <x v="2"/>
    <x v="0"/>
    <x v="0"/>
  </r>
  <r>
    <x v="105"/>
    <s v="Frontend Developer"/>
    <s v="Capgemini"/>
    <x v="0"/>
    <s v="6 LPA"/>
    <x v="2"/>
    <n v="25"/>
    <x v="0"/>
    <x v="1"/>
    <x v="0"/>
  </r>
  <r>
    <x v="106"/>
    <s v="Software Engineer"/>
    <s v="TCS"/>
    <x v="0"/>
    <s v="5 LPA"/>
    <x v="1"/>
    <n v="101"/>
    <x v="1"/>
    <x v="1"/>
    <x v="4"/>
  </r>
  <r>
    <x v="107"/>
    <s v="Software Engineer"/>
    <s v="Wipro"/>
    <x v="3"/>
    <s v="7 LPA"/>
    <x v="0"/>
    <n v="260"/>
    <x v="0"/>
    <x v="1"/>
    <x v="7"/>
  </r>
  <r>
    <x v="108"/>
    <s v="Web Developer"/>
    <s v="Accenture"/>
    <x v="2"/>
    <s v="3 LPA"/>
    <x v="0"/>
    <n v="32"/>
    <x v="4"/>
    <x v="1"/>
    <x v="4"/>
  </r>
  <r>
    <x v="109"/>
    <s v="Backend Developer"/>
    <s v="Infosys"/>
    <x v="0"/>
    <s v="9 LPA"/>
    <x v="2"/>
    <n v="259"/>
    <x v="4"/>
    <x v="0"/>
    <x v="10"/>
  </r>
  <r>
    <x v="110"/>
    <s v="Software Engineer"/>
    <s v="Accenture"/>
    <x v="2"/>
    <s v="10 LPA"/>
    <x v="2"/>
    <n v="111"/>
    <x v="2"/>
    <x v="1"/>
    <x v="4"/>
  </r>
  <r>
    <x v="111"/>
    <s v="HR Manager"/>
    <s v="Capgemini"/>
    <x v="2"/>
    <s v="4 LPA"/>
    <x v="2"/>
    <n v="163"/>
    <x v="2"/>
    <x v="0"/>
    <x v="4"/>
  </r>
  <r>
    <x v="112"/>
    <s v="Data Analyst"/>
    <s v="HCL"/>
    <x v="0"/>
    <s v="4 LPA"/>
    <x v="2"/>
    <n v="100"/>
    <x v="0"/>
    <x v="2"/>
    <x v="1"/>
  </r>
  <r>
    <x v="113"/>
    <s v="Web Developer"/>
    <s v="Accenture"/>
    <x v="0"/>
    <s v="8 LPA"/>
    <x v="0"/>
    <n v="188"/>
    <x v="3"/>
    <x v="0"/>
    <x v="8"/>
  </r>
  <r>
    <x v="114"/>
    <s v="Web Developer"/>
    <s v="Capgemini"/>
    <x v="3"/>
    <s v="3 LPA"/>
    <x v="1"/>
    <n v="260"/>
    <x v="4"/>
    <x v="0"/>
    <x v="2"/>
  </r>
  <r>
    <x v="115"/>
    <s v="Data Analyst"/>
    <s v="Infosys"/>
    <x v="2"/>
    <s v="12 LPA"/>
    <x v="1"/>
    <n v="22"/>
    <x v="0"/>
    <x v="1"/>
    <x v="5"/>
  </r>
  <r>
    <x v="116"/>
    <s v="Backend Developer"/>
    <s v="TCS"/>
    <x v="1"/>
    <s v="3 LPA"/>
    <x v="1"/>
    <n v="29"/>
    <x v="5"/>
    <x v="0"/>
    <x v="4"/>
  </r>
  <r>
    <x v="117"/>
    <s v="Data Analyst"/>
    <s v="Wipro"/>
    <x v="2"/>
    <s v="11 LPA"/>
    <x v="2"/>
    <n v="132"/>
    <x v="0"/>
    <x v="0"/>
    <x v="7"/>
  </r>
  <r>
    <x v="118"/>
    <s v="Backend Developer"/>
    <s v="Capgemini"/>
    <x v="2"/>
    <s v="9 LPA"/>
    <x v="1"/>
    <n v="140"/>
    <x v="5"/>
    <x v="0"/>
    <x v="4"/>
  </r>
  <r>
    <x v="119"/>
    <s v="Data Analyst"/>
    <s v="Infosys"/>
    <x v="2"/>
    <s v="7 LPA"/>
    <x v="2"/>
    <n v="111"/>
    <x v="1"/>
    <x v="1"/>
    <x v="7"/>
  </r>
  <r>
    <x v="120"/>
    <s v="Backend Developer"/>
    <s v="Wipro"/>
    <x v="0"/>
    <s v="5 LPA"/>
    <x v="0"/>
    <n v="118"/>
    <x v="0"/>
    <x v="1"/>
    <x v="7"/>
  </r>
  <r>
    <x v="121"/>
    <s v="Frontend Developer"/>
    <s v="Wipro"/>
    <x v="0"/>
    <s v="6 LPA"/>
    <x v="2"/>
    <n v="214"/>
    <x v="5"/>
    <x v="1"/>
    <x v="6"/>
  </r>
  <r>
    <x v="122"/>
    <s v="Backend Developer"/>
    <s v="Infosys"/>
    <x v="0"/>
    <s v="4 LPA"/>
    <x v="2"/>
    <n v="288"/>
    <x v="1"/>
    <x v="1"/>
    <x v="8"/>
  </r>
  <r>
    <x v="123"/>
    <s v="Web Developer"/>
    <s v="Accenture"/>
    <x v="4"/>
    <s v="12 LPA"/>
    <x v="2"/>
    <n v="185"/>
    <x v="1"/>
    <x v="2"/>
    <x v="0"/>
  </r>
  <r>
    <x v="124"/>
    <s v="HR Manager"/>
    <s v="Wipro"/>
    <x v="3"/>
    <s v="7 LPA"/>
    <x v="0"/>
    <n v="115"/>
    <x v="4"/>
    <x v="1"/>
    <x v="2"/>
  </r>
  <r>
    <x v="125"/>
    <s v="Data Analyst"/>
    <s v="Infosys"/>
    <x v="1"/>
    <s v="9 LPA"/>
    <x v="0"/>
    <n v="143"/>
    <x v="5"/>
    <x v="2"/>
    <x v="1"/>
  </r>
  <r>
    <x v="126"/>
    <s v="HR Manager"/>
    <s v="Wipro"/>
    <x v="4"/>
    <s v="9 LPA"/>
    <x v="1"/>
    <n v="175"/>
    <x v="5"/>
    <x v="2"/>
    <x v="5"/>
  </r>
  <r>
    <x v="127"/>
    <s v="Software Engineer"/>
    <s v="Accenture"/>
    <x v="1"/>
    <s v="8 LPA"/>
    <x v="1"/>
    <n v="214"/>
    <x v="5"/>
    <x v="1"/>
    <x v="2"/>
  </r>
  <r>
    <x v="128"/>
    <s v="Software Engineer"/>
    <s v="Capgemini"/>
    <x v="3"/>
    <s v="6 LPA"/>
    <x v="1"/>
    <n v="60"/>
    <x v="2"/>
    <x v="1"/>
    <x v="4"/>
  </r>
  <r>
    <x v="129"/>
    <s v="Data Analyst"/>
    <s v="Capgemini"/>
    <x v="2"/>
    <s v="10 LPA"/>
    <x v="0"/>
    <n v="180"/>
    <x v="3"/>
    <x v="2"/>
    <x v="6"/>
  </r>
  <r>
    <x v="130"/>
    <s v="Software Engineer"/>
    <s v="Accenture"/>
    <x v="1"/>
    <s v="9 LPA"/>
    <x v="0"/>
    <n v="214"/>
    <x v="4"/>
    <x v="1"/>
    <x v="6"/>
  </r>
  <r>
    <x v="131"/>
    <s v="Data Analyst"/>
    <s v="Accenture"/>
    <x v="0"/>
    <s v="5 LPA"/>
    <x v="2"/>
    <n v="206"/>
    <x v="3"/>
    <x v="1"/>
    <x v="8"/>
  </r>
  <r>
    <x v="132"/>
    <s v="Frontend Developer"/>
    <s v="Wipro"/>
    <x v="4"/>
    <s v="3 LPA"/>
    <x v="2"/>
    <n v="178"/>
    <x v="1"/>
    <x v="0"/>
    <x v="7"/>
  </r>
  <r>
    <x v="133"/>
    <s v="Web Developer"/>
    <s v="Capgemini"/>
    <x v="1"/>
    <s v="6 LPA"/>
    <x v="0"/>
    <n v="155"/>
    <x v="2"/>
    <x v="1"/>
    <x v="11"/>
  </r>
  <r>
    <x v="134"/>
    <s v="Frontend Developer"/>
    <s v="Capgemini"/>
    <x v="4"/>
    <s v="4 LPA"/>
    <x v="2"/>
    <n v="194"/>
    <x v="2"/>
    <x v="2"/>
    <x v="4"/>
  </r>
  <r>
    <x v="135"/>
    <s v="Frontend Developer"/>
    <s v="Infosys"/>
    <x v="2"/>
    <s v="9 LPA"/>
    <x v="1"/>
    <n v="244"/>
    <x v="3"/>
    <x v="2"/>
    <x v="0"/>
  </r>
  <r>
    <x v="136"/>
    <s v="Web Developer"/>
    <s v="Capgemini"/>
    <x v="4"/>
    <s v="10 LPA"/>
    <x v="0"/>
    <n v="257"/>
    <x v="3"/>
    <x v="0"/>
    <x v="5"/>
  </r>
  <r>
    <x v="137"/>
    <s v="HR Manager"/>
    <s v="TCS"/>
    <x v="2"/>
    <s v="10 LPA"/>
    <x v="0"/>
    <n v="160"/>
    <x v="3"/>
    <x v="2"/>
    <x v="3"/>
  </r>
  <r>
    <x v="138"/>
    <s v="Frontend Developer"/>
    <s v="Accenture"/>
    <x v="0"/>
    <s v="8 LPA"/>
    <x v="0"/>
    <n v="133"/>
    <x v="2"/>
    <x v="1"/>
    <x v="9"/>
  </r>
  <r>
    <x v="139"/>
    <s v="Software Engineer"/>
    <s v="Infosys"/>
    <x v="1"/>
    <s v="12 LPA"/>
    <x v="1"/>
    <n v="186"/>
    <x v="0"/>
    <x v="1"/>
    <x v="10"/>
  </r>
  <r>
    <x v="140"/>
    <s v="Data Analyst"/>
    <s v="Infosys"/>
    <x v="0"/>
    <s v="12 LPA"/>
    <x v="0"/>
    <n v="133"/>
    <x v="5"/>
    <x v="0"/>
    <x v="4"/>
  </r>
  <r>
    <x v="141"/>
    <s v="HR Manager"/>
    <s v="Wipro"/>
    <x v="3"/>
    <s v="12 LPA"/>
    <x v="0"/>
    <n v="278"/>
    <x v="4"/>
    <x v="1"/>
    <x v="1"/>
  </r>
  <r>
    <x v="142"/>
    <s v="HR Manager"/>
    <s v="Capgemini"/>
    <x v="3"/>
    <s v="11 LPA"/>
    <x v="1"/>
    <n v="174"/>
    <x v="0"/>
    <x v="2"/>
    <x v="7"/>
  </r>
  <r>
    <x v="143"/>
    <s v="Frontend Developer"/>
    <s v="Infosys"/>
    <x v="1"/>
    <s v="5 LPA"/>
    <x v="0"/>
    <n v="79"/>
    <x v="1"/>
    <x v="0"/>
    <x v="2"/>
  </r>
  <r>
    <x v="144"/>
    <s v="Data Analyst"/>
    <s v="TCS"/>
    <x v="0"/>
    <s v="8 LPA"/>
    <x v="2"/>
    <n v="255"/>
    <x v="2"/>
    <x v="2"/>
    <x v="2"/>
  </r>
  <r>
    <x v="145"/>
    <s v="Backend Developer"/>
    <s v="Wipro"/>
    <x v="2"/>
    <s v="4 LPA"/>
    <x v="2"/>
    <n v="117"/>
    <x v="5"/>
    <x v="1"/>
    <x v="9"/>
  </r>
  <r>
    <x v="146"/>
    <s v="Backend Developer"/>
    <s v="Wipro"/>
    <x v="4"/>
    <s v="9 LPA"/>
    <x v="2"/>
    <n v="142"/>
    <x v="4"/>
    <x v="1"/>
    <x v="6"/>
  </r>
  <r>
    <x v="147"/>
    <s v="Data Analyst"/>
    <s v="Infosys"/>
    <x v="1"/>
    <s v="5 LPA"/>
    <x v="1"/>
    <n v="73"/>
    <x v="2"/>
    <x v="1"/>
    <x v="8"/>
  </r>
  <r>
    <x v="148"/>
    <s v="Backend Developer"/>
    <s v="Wipro"/>
    <x v="3"/>
    <s v="8 LPA"/>
    <x v="1"/>
    <n v="240"/>
    <x v="3"/>
    <x v="2"/>
    <x v="9"/>
  </r>
  <r>
    <x v="149"/>
    <s v="Web Developer"/>
    <s v="Capgemini"/>
    <x v="3"/>
    <s v="10 LPA"/>
    <x v="2"/>
    <n v="61"/>
    <x v="5"/>
    <x v="2"/>
    <x v="2"/>
  </r>
  <r>
    <x v="150"/>
    <s v="Backend Developer"/>
    <s v="Infosys"/>
    <x v="0"/>
    <s v="9 LPA"/>
    <x v="1"/>
    <n v="277"/>
    <x v="2"/>
    <x v="2"/>
    <x v="0"/>
  </r>
  <r>
    <x v="151"/>
    <s v="Data Analyst"/>
    <s v="Infosys"/>
    <x v="2"/>
    <s v="5 LPA"/>
    <x v="2"/>
    <n v="286"/>
    <x v="2"/>
    <x v="0"/>
    <x v="7"/>
  </r>
  <r>
    <x v="152"/>
    <s v="HR Manager"/>
    <s v="TCS"/>
    <x v="2"/>
    <s v="6 LPA"/>
    <x v="0"/>
    <n v="207"/>
    <x v="1"/>
    <x v="1"/>
    <x v="10"/>
  </r>
  <r>
    <x v="153"/>
    <s v="Web Developer"/>
    <s v="Capgemini"/>
    <x v="1"/>
    <s v="3 LPA"/>
    <x v="2"/>
    <n v="134"/>
    <x v="5"/>
    <x v="0"/>
    <x v="3"/>
  </r>
  <r>
    <x v="154"/>
    <s v="Backend Developer"/>
    <s v="TCS"/>
    <x v="4"/>
    <s v="7 LPA"/>
    <x v="1"/>
    <n v="112"/>
    <x v="1"/>
    <x v="2"/>
    <x v="6"/>
  </r>
  <r>
    <x v="155"/>
    <s v="Frontend Developer"/>
    <s v="Accenture"/>
    <x v="4"/>
    <s v="7 LPA"/>
    <x v="1"/>
    <n v="215"/>
    <x v="0"/>
    <x v="2"/>
    <x v="9"/>
  </r>
  <r>
    <x v="156"/>
    <s v="HR Manager"/>
    <s v="Capgemini"/>
    <x v="0"/>
    <s v="12 LPA"/>
    <x v="2"/>
    <n v="167"/>
    <x v="4"/>
    <x v="0"/>
    <x v="10"/>
  </r>
  <r>
    <x v="157"/>
    <s v="Frontend Developer"/>
    <s v="HCL"/>
    <x v="4"/>
    <s v="7 LPA"/>
    <x v="2"/>
    <n v="48"/>
    <x v="1"/>
    <x v="2"/>
    <x v="10"/>
  </r>
  <r>
    <x v="158"/>
    <s v="Web Developer"/>
    <s v="TCS"/>
    <x v="1"/>
    <s v="10 LPA"/>
    <x v="1"/>
    <n v="152"/>
    <x v="1"/>
    <x v="2"/>
    <x v="3"/>
  </r>
  <r>
    <x v="159"/>
    <s v="HR Manager"/>
    <s v="Wipro"/>
    <x v="0"/>
    <s v="7 LPA"/>
    <x v="0"/>
    <n v="263"/>
    <x v="1"/>
    <x v="1"/>
    <x v="10"/>
  </r>
  <r>
    <x v="160"/>
    <s v="Data Analyst"/>
    <s v="HCL"/>
    <x v="0"/>
    <s v="11 LPA"/>
    <x v="2"/>
    <n v="154"/>
    <x v="2"/>
    <x v="2"/>
    <x v="6"/>
  </r>
  <r>
    <x v="161"/>
    <s v="HR Manager"/>
    <s v="HCL"/>
    <x v="2"/>
    <s v="5 LPA"/>
    <x v="1"/>
    <n v="86"/>
    <x v="1"/>
    <x v="0"/>
    <x v="1"/>
  </r>
  <r>
    <x v="162"/>
    <s v="HR Manager"/>
    <s v="TCS"/>
    <x v="0"/>
    <s v="6 LPA"/>
    <x v="2"/>
    <n v="140"/>
    <x v="5"/>
    <x v="2"/>
    <x v="5"/>
  </r>
  <r>
    <x v="163"/>
    <s v="Software Engineer"/>
    <s v="Infosys"/>
    <x v="0"/>
    <s v="7 LPA"/>
    <x v="1"/>
    <n v="259"/>
    <x v="1"/>
    <x v="2"/>
    <x v="2"/>
  </r>
  <r>
    <x v="164"/>
    <s v="Web Developer"/>
    <s v="TCS"/>
    <x v="1"/>
    <s v="6 LPA"/>
    <x v="0"/>
    <n v="194"/>
    <x v="4"/>
    <x v="0"/>
    <x v="1"/>
  </r>
  <r>
    <x v="165"/>
    <s v="Data Analyst"/>
    <s v="Wipro"/>
    <x v="4"/>
    <s v="10 LPA"/>
    <x v="2"/>
    <n v="33"/>
    <x v="1"/>
    <x v="2"/>
    <x v="3"/>
  </r>
  <r>
    <x v="166"/>
    <s v="Backend Developer"/>
    <s v="Infosys"/>
    <x v="2"/>
    <s v="10 LPA"/>
    <x v="2"/>
    <n v="165"/>
    <x v="0"/>
    <x v="2"/>
    <x v="9"/>
  </r>
  <r>
    <x v="167"/>
    <s v="Backend Developer"/>
    <s v="Wipro"/>
    <x v="1"/>
    <s v="3 LPA"/>
    <x v="0"/>
    <n v="42"/>
    <x v="3"/>
    <x v="2"/>
    <x v="7"/>
  </r>
  <r>
    <x v="168"/>
    <s v="Backend Developer"/>
    <s v="Wipro"/>
    <x v="0"/>
    <s v="8 LPA"/>
    <x v="1"/>
    <n v="110"/>
    <x v="0"/>
    <x v="0"/>
    <x v="9"/>
  </r>
  <r>
    <x v="169"/>
    <s v="Data Analyst"/>
    <s v="Capgemini"/>
    <x v="0"/>
    <s v="3 LPA"/>
    <x v="2"/>
    <n v="198"/>
    <x v="0"/>
    <x v="2"/>
    <x v="4"/>
  </r>
  <r>
    <x v="170"/>
    <s v="HR Manager"/>
    <s v="HCL"/>
    <x v="4"/>
    <s v="4 LPA"/>
    <x v="2"/>
    <n v="22"/>
    <x v="1"/>
    <x v="2"/>
    <x v="9"/>
  </r>
  <r>
    <x v="171"/>
    <s v="Web Developer"/>
    <s v="HCL"/>
    <x v="3"/>
    <s v="10 LPA"/>
    <x v="2"/>
    <n v="281"/>
    <x v="5"/>
    <x v="0"/>
    <x v="10"/>
  </r>
  <r>
    <x v="172"/>
    <s v="Web Developer"/>
    <s v="Wipro"/>
    <x v="2"/>
    <s v="8 LPA"/>
    <x v="2"/>
    <n v="34"/>
    <x v="0"/>
    <x v="0"/>
    <x v="5"/>
  </r>
  <r>
    <x v="173"/>
    <s v="Data Analyst"/>
    <s v="Capgemini"/>
    <x v="3"/>
    <s v="8 LPA"/>
    <x v="2"/>
    <n v="180"/>
    <x v="5"/>
    <x v="0"/>
    <x v="0"/>
  </r>
  <r>
    <x v="174"/>
    <s v="HR Manager"/>
    <s v="Wipro"/>
    <x v="3"/>
    <s v="9 LPA"/>
    <x v="2"/>
    <n v="300"/>
    <x v="0"/>
    <x v="1"/>
    <x v="9"/>
  </r>
  <r>
    <x v="175"/>
    <s v="HR Manager"/>
    <s v="Infosys"/>
    <x v="2"/>
    <s v="11 LPA"/>
    <x v="2"/>
    <n v="142"/>
    <x v="5"/>
    <x v="2"/>
    <x v="5"/>
  </r>
  <r>
    <x v="176"/>
    <s v="Web Developer"/>
    <s v="Infosys"/>
    <x v="4"/>
    <s v="9 LPA"/>
    <x v="0"/>
    <n v="260"/>
    <x v="4"/>
    <x v="0"/>
    <x v="6"/>
  </r>
  <r>
    <x v="177"/>
    <s v="Web Developer"/>
    <s v="TCS"/>
    <x v="4"/>
    <s v="4 LPA"/>
    <x v="2"/>
    <n v="235"/>
    <x v="3"/>
    <x v="0"/>
    <x v="10"/>
  </r>
  <r>
    <x v="178"/>
    <s v="Web Developer"/>
    <s v="Wipro"/>
    <x v="1"/>
    <s v="5 LPA"/>
    <x v="0"/>
    <n v="143"/>
    <x v="2"/>
    <x v="0"/>
    <x v="9"/>
  </r>
  <r>
    <x v="179"/>
    <s v="Data Analyst"/>
    <s v="Capgemini"/>
    <x v="3"/>
    <s v="8 LPA"/>
    <x v="0"/>
    <n v="156"/>
    <x v="3"/>
    <x v="1"/>
    <x v="5"/>
  </r>
  <r>
    <x v="180"/>
    <s v="HR Manager"/>
    <s v="Wipro"/>
    <x v="2"/>
    <s v="7 LPA"/>
    <x v="1"/>
    <n v="99"/>
    <x v="0"/>
    <x v="0"/>
    <x v="6"/>
  </r>
  <r>
    <x v="181"/>
    <s v="Frontend Developer"/>
    <s v="Accenture"/>
    <x v="4"/>
    <s v="10 LPA"/>
    <x v="2"/>
    <n v="114"/>
    <x v="5"/>
    <x v="0"/>
    <x v="0"/>
  </r>
  <r>
    <x v="182"/>
    <s v="Web Developer"/>
    <s v="Accenture"/>
    <x v="0"/>
    <s v="4 LPA"/>
    <x v="1"/>
    <n v="298"/>
    <x v="5"/>
    <x v="2"/>
    <x v="7"/>
  </r>
  <r>
    <x v="183"/>
    <s v="Backend Developer"/>
    <s v="TCS"/>
    <x v="1"/>
    <s v="3 LPA"/>
    <x v="0"/>
    <n v="166"/>
    <x v="1"/>
    <x v="1"/>
    <x v="10"/>
  </r>
  <r>
    <x v="184"/>
    <s v="Data Analyst"/>
    <s v="HCL"/>
    <x v="4"/>
    <s v="3 LPA"/>
    <x v="2"/>
    <n v="165"/>
    <x v="4"/>
    <x v="0"/>
    <x v="4"/>
  </r>
  <r>
    <x v="185"/>
    <s v="Backend Developer"/>
    <s v="Accenture"/>
    <x v="4"/>
    <s v="9 LPA"/>
    <x v="2"/>
    <n v="269"/>
    <x v="1"/>
    <x v="0"/>
    <x v="6"/>
  </r>
  <r>
    <x v="186"/>
    <s v="Frontend Developer"/>
    <s v="Infosys"/>
    <x v="1"/>
    <s v="8 LPA"/>
    <x v="2"/>
    <n v="123"/>
    <x v="4"/>
    <x v="1"/>
    <x v="10"/>
  </r>
  <r>
    <x v="187"/>
    <s v="Software Engineer"/>
    <s v="HCL"/>
    <x v="2"/>
    <s v="10 LPA"/>
    <x v="0"/>
    <n v="133"/>
    <x v="5"/>
    <x v="2"/>
    <x v="5"/>
  </r>
  <r>
    <x v="188"/>
    <s v="Data Analyst"/>
    <s v="Wipro"/>
    <x v="1"/>
    <s v="12 LPA"/>
    <x v="0"/>
    <n v="92"/>
    <x v="0"/>
    <x v="1"/>
    <x v="9"/>
  </r>
  <r>
    <x v="189"/>
    <s v="Web Developer"/>
    <s v="Capgemini"/>
    <x v="1"/>
    <s v="6 LPA"/>
    <x v="1"/>
    <n v="44"/>
    <x v="2"/>
    <x v="1"/>
    <x v="6"/>
  </r>
  <r>
    <x v="190"/>
    <s v="Data Analyst"/>
    <s v="TCS"/>
    <x v="0"/>
    <s v="8 LPA"/>
    <x v="2"/>
    <n v="40"/>
    <x v="0"/>
    <x v="2"/>
    <x v="0"/>
  </r>
  <r>
    <x v="191"/>
    <s v="HR Manager"/>
    <s v="HCL"/>
    <x v="2"/>
    <s v="10 LPA"/>
    <x v="1"/>
    <n v="30"/>
    <x v="5"/>
    <x v="1"/>
    <x v="6"/>
  </r>
  <r>
    <x v="192"/>
    <s v="Data Analyst"/>
    <s v="Capgemini"/>
    <x v="4"/>
    <s v="5 LPA"/>
    <x v="1"/>
    <n v="35"/>
    <x v="2"/>
    <x v="1"/>
    <x v="11"/>
  </r>
  <r>
    <x v="193"/>
    <s v="Software Engineer"/>
    <s v="Accenture"/>
    <x v="4"/>
    <s v="6 LPA"/>
    <x v="1"/>
    <n v="275"/>
    <x v="3"/>
    <x v="2"/>
    <x v="5"/>
  </r>
  <r>
    <x v="194"/>
    <s v="Web Developer"/>
    <s v="TCS"/>
    <x v="2"/>
    <s v="10 LPA"/>
    <x v="1"/>
    <n v="62"/>
    <x v="4"/>
    <x v="2"/>
    <x v="2"/>
  </r>
  <r>
    <x v="195"/>
    <s v="Web Developer"/>
    <s v="Capgemini"/>
    <x v="0"/>
    <s v="6 LPA"/>
    <x v="1"/>
    <n v="157"/>
    <x v="3"/>
    <x v="0"/>
    <x v="0"/>
  </r>
  <r>
    <x v="196"/>
    <s v="Data Analyst"/>
    <s v="Wipro"/>
    <x v="2"/>
    <s v="11 LPA"/>
    <x v="1"/>
    <n v="226"/>
    <x v="5"/>
    <x v="2"/>
    <x v="2"/>
  </r>
  <r>
    <x v="197"/>
    <s v="Data Analyst"/>
    <s v="Infosys"/>
    <x v="2"/>
    <s v="5 LPA"/>
    <x v="0"/>
    <n v="225"/>
    <x v="0"/>
    <x v="2"/>
    <x v="5"/>
  </r>
  <r>
    <x v="198"/>
    <s v="Data Analyst"/>
    <s v="HCL"/>
    <x v="4"/>
    <s v="9 LPA"/>
    <x v="1"/>
    <n v="128"/>
    <x v="5"/>
    <x v="2"/>
    <x v="6"/>
  </r>
  <r>
    <x v="199"/>
    <s v="Frontend Developer"/>
    <s v="Accenture"/>
    <x v="3"/>
    <s v="11 LPA"/>
    <x v="0"/>
    <n v="67"/>
    <x v="2"/>
    <x v="2"/>
    <x v="7"/>
  </r>
  <r>
    <x v="200"/>
    <s v="Backend Developer"/>
    <s v="Accenture"/>
    <x v="0"/>
    <s v="12 LPA"/>
    <x v="0"/>
    <n v="164"/>
    <x v="0"/>
    <x v="0"/>
    <x v="6"/>
  </r>
  <r>
    <x v="201"/>
    <s v="Software Engineer"/>
    <s v="Accenture"/>
    <x v="3"/>
    <s v="3 LPA"/>
    <x v="2"/>
    <n v="66"/>
    <x v="1"/>
    <x v="0"/>
    <x v="8"/>
  </r>
  <r>
    <x v="202"/>
    <s v="HR Manager"/>
    <s v="TCS"/>
    <x v="0"/>
    <s v="3 LPA"/>
    <x v="1"/>
    <n v="164"/>
    <x v="2"/>
    <x v="2"/>
    <x v="11"/>
  </r>
  <r>
    <x v="203"/>
    <s v="Software Engineer"/>
    <s v="Capgemini"/>
    <x v="1"/>
    <s v="12 LPA"/>
    <x v="1"/>
    <n v="204"/>
    <x v="5"/>
    <x v="0"/>
    <x v="4"/>
  </r>
  <r>
    <x v="204"/>
    <s v="Web Developer"/>
    <s v="TCS"/>
    <x v="3"/>
    <s v="8 LPA"/>
    <x v="0"/>
    <n v="108"/>
    <x v="4"/>
    <x v="0"/>
    <x v="2"/>
  </r>
  <r>
    <x v="205"/>
    <s v="Web Developer"/>
    <s v="Infosys"/>
    <x v="3"/>
    <s v="7 LPA"/>
    <x v="0"/>
    <n v="139"/>
    <x v="1"/>
    <x v="2"/>
    <x v="8"/>
  </r>
  <r>
    <x v="206"/>
    <s v="Frontend Developer"/>
    <s v="Capgemini"/>
    <x v="3"/>
    <s v="6 LPA"/>
    <x v="2"/>
    <n v="285"/>
    <x v="1"/>
    <x v="1"/>
    <x v="3"/>
  </r>
  <r>
    <x v="207"/>
    <s v="Frontend Developer"/>
    <s v="Infosys"/>
    <x v="4"/>
    <s v="7 LPA"/>
    <x v="1"/>
    <n v="297"/>
    <x v="4"/>
    <x v="2"/>
    <x v="1"/>
  </r>
  <r>
    <x v="208"/>
    <s v="Frontend Developer"/>
    <s v="HCL"/>
    <x v="3"/>
    <s v="7 LPA"/>
    <x v="0"/>
    <n v="89"/>
    <x v="1"/>
    <x v="0"/>
    <x v="1"/>
  </r>
  <r>
    <x v="209"/>
    <s v="Software Engineer"/>
    <s v="TCS"/>
    <x v="2"/>
    <s v="11 LPA"/>
    <x v="1"/>
    <n v="126"/>
    <x v="1"/>
    <x v="0"/>
    <x v="2"/>
  </r>
  <r>
    <x v="210"/>
    <s v="Data Analyst"/>
    <s v="Accenture"/>
    <x v="3"/>
    <s v="7 LPA"/>
    <x v="1"/>
    <n v="63"/>
    <x v="0"/>
    <x v="1"/>
    <x v="7"/>
  </r>
  <r>
    <x v="211"/>
    <s v="Web Developer"/>
    <s v="Infosys"/>
    <x v="1"/>
    <s v="3 LPA"/>
    <x v="2"/>
    <n v="243"/>
    <x v="5"/>
    <x v="0"/>
    <x v="6"/>
  </r>
  <r>
    <x v="212"/>
    <s v="Data Analyst"/>
    <s v="Accenture"/>
    <x v="4"/>
    <s v="11 LPA"/>
    <x v="0"/>
    <n v="184"/>
    <x v="5"/>
    <x v="0"/>
    <x v="1"/>
  </r>
  <r>
    <x v="213"/>
    <s v="Web Developer"/>
    <s v="HCL"/>
    <x v="3"/>
    <s v="9 LPA"/>
    <x v="0"/>
    <n v="254"/>
    <x v="5"/>
    <x v="2"/>
    <x v="3"/>
  </r>
  <r>
    <x v="214"/>
    <s v="Backend Developer"/>
    <s v="TCS"/>
    <x v="2"/>
    <s v="12 LPA"/>
    <x v="2"/>
    <n v="96"/>
    <x v="3"/>
    <x v="2"/>
    <x v="8"/>
  </r>
  <r>
    <x v="215"/>
    <s v="Backend Developer"/>
    <s v="Capgemini"/>
    <x v="3"/>
    <s v="10 LPA"/>
    <x v="1"/>
    <n v="91"/>
    <x v="1"/>
    <x v="0"/>
    <x v="7"/>
  </r>
  <r>
    <x v="216"/>
    <s v="Frontend Developer"/>
    <s v="Wipro"/>
    <x v="4"/>
    <s v="5 LPA"/>
    <x v="0"/>
    <n v="27"/>
    <x v="0"/>
    <x v="2"/>
    <x v="4"/>
  </r>
  <r>
    <x v="217"/>
    <s v="Web Developer"/>
    <s v="Wipro"/>
    <x v="4"/>
    <s v="10 LPA"/>
    <x v="2"/>
    <n v="118"/>
    <x v="3"/>
    <x v="1"/>
    <x v="9"/>
  </r>
  <r>
    <x v="218"/>
    <s v="Backend Developer"/>
    <s v="HCL"/>
    <x v="4"/>
    <s v="9 LPA"/>
    <x v="2"/>
    <n v="137"/>
    <x v="2"/>
    <x v="2"/>
    <x v="0"/>
  </r>
  <r>
    <x v="219"/>
    <s v="HR Manager"/>
    <s v="Capgemini"/>
    <x v="3"/>
    <s v="4 LPA"/>
    <x v="1"/>
    <n v="171"/>
    <x v="3"/>
    <x v="0"/>
    <x v="0"/>
  </r>
  <r>
    <x v="220"/>
    <s v="Frontend Developer"/>
    <s v="Accenture"/>
    <x v="3"/>
    <s v="4 LPA"/>
    <x v="1"/>
    <n v="263"/>
    <x v="1"/>
    <x v="2"/>
    <x v="11"/>
  </r>
  <r>
    <x v="221"/>
    <s v="Software Engineer"/>
    <s v="HCL"/>
    <x v="3"/>
    <s v="7 LPA"/>
    <x v="0"/>
    <n v="142"/>
    <x v="1"/>
    <x v="0"/>
    <x v="7"/>
  </r>
  <r>
    <x v="222"/>
    <s v="Frontend Developer"/>
    <s v="Wipro"/>
    <x v="4"/>
    <s v="7 LPA"/>
    <x v="0"/>
    <n v="183"/>
    <x v="1"/>
    <x v="2"/>
    <x v="5"/>
  </r>
  <r>
    <x v="223"/>
    <s v="HR Manager"/>
    <s v="Wipro"/>
    <x v="1"/>
    <s v="8 LPA"/>
    <x v="2"/>
    <n v="237"/>
    <x v="5"/>
    <x v="1"/>
    <x v="4"/>
  </r>
  <r>
    <x v="224"/>
    <s v="Data Analyst"/>
    <s v="TCS"/>
    <x v="1"/>
    <s v="7 LPA"/>
    <x v="0"/>
    <n v="199"/>
    <x v="4"/>
    <x v="0"/>
    <x v="9"/>
  </r>
  <r>
    <x v="225"/>
    <s v="Data Analyst"/>
    <s v="Accenture"/>
    <x v="2"/>
    <s v="6 LPA"/>
    <x v="2"/>
    <n v="154"/>
    <x v="5"/>
    <x v="2"/>
    <x v="1"/>
  </r>
  <r>
    <x v="226"/>
    <s v="HR Manager"/>
    <s v="Wipro"/>
    <x v="3"/>
    <s v="6 LPA"/>
    <x v="0"/>
    <n v="203"/>
    <x v="5"/>
    <x v="1"/>
    <x v="3"/>
  </r>
  <r>
    <x v="227"/>
    <s v="Web Developer"/>
    <s v="Accenture"/>
    <x v="4"/>
    <s v="4 LPA"/>
    <x v="0"/>
    <n v="185"/>
    <x v="1"/>
    <x v="1"/>
    <x v="11"/>
  </r>
  <r>
    <x v="228"/>
    <s v="Backend Developer"/>
    <s v="Wipro"/>
    <x v="4"/>
    <s v="6 LPA"/>
    <x v="2"/>
    <n v="230"/>
    <x v="0"/>
    <x v="0"/>
    <x v="4"/>
  </r>
  <r>
    <x v="229"/>
    <s v="Web Developer"/>
    <s v="Wipro"/>
    <x v="3"/>
    <s v="9 LPA"/>
    <x v="0"/>
    <n v="152"/>
    <x v="1"/>
    <x v="2"/>
    <x v="1"/>
  </r>
  <r>
    <x v="230"/>
    <s v="HR Manager"/>
    <s v="Wipro"/>
    <x v="4"/>
    <s v="11 LPA"/>
    <x v="1"/>
    <n v="270"/>
    <x v="4"/>
    <x v="0"/>
    <x v="2"/>
  </r>
  <r>
    <x v="231"/>
    <s v="Data Analyst"/>
    <s v="Accenture"/>
    <x v="3"/>
    <s v="12 LPA"/>
    <x v="2"/>
    <n v="201"/>
    <x v="0"/>
    <x v="1"/>
    <x v="9"/>
  </r>
  <r>
    <x v="232"/>
    <s v="Software Engineer"/>
    <s v="Wipro"/>
    <x v="3"/>
    <s v="7 LPA"/>
    <x v="1"/>
    <n v="191"/>
    <x v="0"/>
    <x v="0"/>
    <x v="4"/>
  </r>
  <r>
    <x v="233"/>
    <s v="Frontend Developer"/>
    <s v="Infosys"/>
    <x v="3"/>
    <s v="5 LPA"/>
    <x v="1"/>
    <n v="131"/>
    <x v="4"/>
    <x v="2"/>
    <x v="6"/>
  </r>
  <r>
    <x v="234"/>
    <s v="Frontend Developer"/>
    <s v="HCL"/>
    <x v="1"/>
    <s v="10 LPA"/>
    <x v="2"/>
    <n v="144"/>
    <x v="5"/>
    <x v="0"/>
    <x v="1"/>
  </r>
  <r>
    <x v="235"/>
    <s v="Software Engineer"/>
    <s v="TCS"/>
    <x v="2"/>
    <s v="4 LPA"/>
    <x v="2"/>
    <n v="147"/>
    <x v="1"/>
    <x v="2"/>
    <x v="8"/>
  </r>
  <r>
    <x v="236"/>
    <s v="Data Analyst"/>
    <s v="Wipro"/>
    <x v="2"/>
    <s v="8 LPA"/>
    <x v="0"/>
    <n v="161"/>
    <x v="5"/>
    <x v="2"/>
    <x v="11"/>
  </r>
  <r>
    <x v="237"/>
    <s v="Web Developer"/>
    <s v="Wipro"/>
    <x v="0"/>
    <s v="5 LPA"/>
    <x v="1"/>
    <n v="117"/>
    <x v="2"/>
    <x v="2"/>
    <x v="9"/>
  </r>
  <r>
    <x v="238"/>
    <s v="Data Analyst"/>
    <s v="Accenture"/>
    <x v="0"/>
    <s v="10 LPA"/>
    <x v="0"/>
    <n v="249"/>
    <x v="5"/>
    <x v="0"/>
    <x v="10"/>
  </r>
  <r>
    <x v="239"/>
    <s v="Web Developer"/>
    <s v="TCS"/>
    <x v="0"/>
    <s v="9 LPA"/>
    <x v="1"/>
    <n v="282"/>
    <x v="3"/>
    <x v="0"/>
    <x v="9"/>
  </r>
  <r>
    <x v="240"/>
    <s v="Data Analyst"/>
    <s v="HCL"/>
    <x v="0"/>
    <s v="11 LPA"/>
    <x v="0"/>
    <n v="208"/>
    <x v="1"/>
    <x v="0"/>
    <x v="2"/>
  </r>
  <r>
    <x v="241"/>
    <s v="Web Developer"/>
    <s v="HCL"/>
    <x v="4"/>
    <s v="5 LPA"/>
    <x v="0"/>
    <n v="26"/>
    <x v="2"/>
    <x v="0"/>
    <x v="5"/>
  </r>
  <r>
    <x v="242"/>
    <s v="Web Developer"/>
    <s v="Wipro"/>
    <x v="3"/>
    <s v="12 LPA"/>
    <x v="0"/>
    <n v="290"/>
    <x v="4"/>
    <x v="2"/>
    <x v="3"/>
  </r>
  <r>
    <x v="243"/>
    <s v="HR Manager"/>
    <s v="Capgemini"/>
    <x v="3"/>
    <s v="3 LPA"/>
    <x v="2"/>
    <n v="235"/>
    <x v="5"/>
    <x v="0"/>
    <x v="6"/>
  </r>
  <r>
    <x v="244"/>
    <s v="Web Developer"/>
    <s v="Wipro"/>
    <x v="2"/>
    <s v="12 LPA"/>
    <x v="1"/>
    <n v="86"/>
    <x v="5"/>
    <x v="2"/>
    <x v="10"/>
  </r>
  <r>
    <x v="245"/>
    <s v="Backend Developer"/>
    <s v="Infosys"/>
    <x v="4"/>
    <s v="10 LPA"/>
    <x v="2"/>
    <n v="232"/>
    <x v="0"/>
    <x v="2"/>
    <x v="6"/>
  </r>
  <r>
    <x v="246"/>
    <s v="Web Developer"/>
    <s v="Capgemini"/>
    <x v="0"/>
    <s v="12 LPA"/>
    <x v="1"/>
    <n v="43"/>
    <x v="0"/>
    <x v="1"/>
    <x v="5"/>
  </r>
  <r>
    <x v="247"/>
    <s v="Backend Developer"/>
    <s v="Infosys"/>
    <x v="1"/>
    <s v="10 LPA"/>
    <x v="1"/>
    <n v="99"/>
    <x v="2"/>
    <x v="0"/>
    <x v="1"/>
  </r>
  <r>
    <x v="248"/>
    <s v="Web Developer"/>
    <s v="HCL"/>
    <x v="3"/>
    <s v="12 LPA"/>
    <x v="1"/>
    <n v="182"/>
    <x v="1"/>
    <x v="0"/>
    <x v="10"/>
  </r>
  <r>
    <x v="249"/>
    <s v="Software Engineer"/>
    <s v="HCL"/>
    <x v="2"/>
    <s v="3 LPA"/>
    <x v="1"/>
    <n v="81"/>
    <x v="4"/>
    <x v="2"/>
    <x v="4"/>
  </r>
  <r>
    <x v="250"/>
    <s v="Web Developer"/>
    <s v="Infosys"/>
    <x v="1"/>
    <s v="12 LPA"/>
    <x v="2"/>
    <n v="97"/>
    <x v="0"/>
    <x v="1"/>
    <x v="2"/>
  </r>
  <r>
    <x v="251"/>
    <s v="Software Engineer"/>
    <s v="HCL"/>
    <x v="4"/>
    <s v="12 LPA"/>
    <x v="0"/>
    <n v="224"/>
    <x v="4"/>
    <x v="0"/>
    <x v="10"/>
  </r>
  <r>
    <x v="252"/>
    <s v="Backend Developer"/>
    <s v="Accenture"/>
    <x v="3"/>
    <s v="5 LPA"/>
    <x v="0"/>
    <n v="213"/>
    <x v="4"/>
    <x v="0"/>
    <x v="8"/>
  </r>
  <r>
    <x v="253"/>
    <s v="HR Manager"/>
    <s v="Accenture"/>
    <x v="4"/>
    <s v="12 LPA"/>
    <x v="2"/>
    <n v="109"/>
    <x v="4"/>
    <x v="2"/>
    <x v="7"/>
  </r>
  <r>
    <x v="254"/>
    <s v="HR Manager"/>
    <s v="Capgemini"/>
    <x v="2"/>
    <s v="4 LPA"/>
    <x v="1"/>
    <n v="149"/>
    <x v="0"/>
    <x v="1"/>
    <x v="9"/>
  </r>
  <r>
    <x v="255"/>
    <s v="Frontend Developer"/>
    <s v="TCS"/>
    <x v="4"/>
    <s v="5 LPA"/>
    <x v="0"/>
    <n v="85"/>
    <x v="0"/>
    <x v="1"/>
    <x v="2"/>
  </r>
  <r>
    <x v="256"/>
    <s v="Data Analyst"/>
    <s v="Infosys"/>
    <x v="1"/>
    <s v="11 LPA"/>
    <x v="2"/>
    <n v="169"/>
    <x v="1"/>
    <x v="1"/>
    <x v="5"/>
  </r>
  <r>
    <x v="257"/>
    <s v="Backend Developer"/>
    <s v="Wipro"/>
    <x v="1"/>
    <s v="12 LPA"/>
    <x v="1"/>
    <n v="111"/>
    <x v="1"/>
    <x v="1"/>
    <x v="8"/>
  </r>
  <r>
    <x v="258"/>
    <s v="Web Developer"/>
    <s v="Infosys"/>
    <x v="2"/>
    <s v="7 LPA"/>
    <x v="2"/>
    <n v="268"/>
    <x v="5"/>
    <x v="0"/>
    <x v="1"/>
  </r>
  <r>
    <x v="259"/>
    <s v="HR Manager"/>
    <s v="HCL"/>
    <x v="1"/>
    <s v="6 LPA"/>
    <x v="0"/>
    <n v="29"/>
    <x v="1"/>
    <x v="0"/>
    <x v="3"/>
  </r>
  <r>
    <x v="260"/>
    <s v="Backend Developer"/>
    <s v="Infosys"/>
    <x v="0"/>
    <s v="4 LPA"/>
    <x v="2"/>
    <n v="206"/>
    <x v="1"/>
    <x v="2"/>
    <x v="6"/>
  </r>
  <r>
    <x v="261"/>
    <s v="HR Manager"/>
    <s v="Accenture"/>
    <x v="2"/>
    <s v="10 LPA"/>
    <x v="0"/>
    <n v="267"/>
    <x v="4"/>
    <x v="0"/>
    <x v="8"/>
  </r>
  <r>
    <x v="262"/>
    <s v="Software Engineer"/>
    <s v="TCS"/>
    <x v="0"/>
    <s v="12 LPA"/>
    <x v="2"/>
    <n v="144"/>
    <x v="0"/>
    <x v="0"/>
    <x v="0"/>
  </r>
  <r>
    <x v="263"/>
    <s v="Backend Developer"/>
    <s v="TCS"/>
    <x v="2"/>
    <s v="7 LPA"/>
    <x v="2"/>
    <n v="107"/>
    <x v="5"/>
    <x v="2"/>
    <x v="5"/>
  </r>
  <r>
    <x v="264"/>
    <s v="Backend Developer"/>
    <s v="Accenture"/>
    <x v="4"/>
    <s v="12 LPA"/>
    <x v="0"/>
    <n v="82"/>
    <x v="4"/>
    <x v="2"/>
    <x v="7"/>
  </r>
  <r>
    <x v="265"/>
    <s v="Data Analyst"/>
    <s v="Capgemini"/>
    <x v="3"/>
    <s v="8 LPA"/>
    <x v="1"/>
    <n v="154"/>
    <x v="1"/>
    <x v="0"/>
    <x v="9"/>
  </r>
  <r>
    <x v="266"/>
    <s v="Data Analyst"/>
    <s v="HCL"/>
    <x v="0"/>
    <s v="11 LPA"/>
    <x v="2"/>
    <n v="192"/>
    <x v="5"/>
    <x v="1"/>
    <x v="11"/>
  </r>
  <r>
    <x v="267"/>
    <s v="Software Engineer"/>
    <s v="Capgemini"/>
    <x v="3"/>
    <s v="11 LPA"/>
    <x v="1"/>
    <n v="52"/>
    <x v="5"/>
    <x v="1"/>
    <x v="2"/>
  </r>
  <r>
    <x v="268"/>
    <s v="Data Analyst"/>
    <s v="TCS"/>
    <x v="2"/>
    <s v="4 LPA"/>
    <x v="2"/>
    <n v="248"/>
    <x v="4"/>
    <x v="2"/>
    <x v="1"/>
  </r>
  <r>
    <x v="269"/>
    <s v="Frontend Developer"/>
    <s v="TCS"/>
    <x v="4"/>
    <s v="10 LPA"/>
    <x v="0"/>
    <n v="231"/>
    <x v="2"/>
    <x v="0"/>
    <x v="1"/>
  </r>
  <r>
    <x v="270"/>
    <s v="Data Analyst"/>
    <s v="Accenture"/>
    <x v="2"/>
    <s v="6 LPA"/>
    <x v="1"/>
    <n v="230"/>
    <x v="3"/>
    <x v="2"/>
    <x v="7"/>
  </r>
  <r>
    <x v="271"/>
    <s v="Web Developer"/>
    <s v="Accenture"/>
    <x v="3"/>
    <s v="12 LPA"/>
    <x v="2"/>
    <n v="175"/>
    <x v="3"/>
    <x v="0"/>
    <x v="2"/>
  </r>
  <r>
    <x v="272"/>
    <s v="HR Manager"/>
    <s v="Accenture"/>
    <x v="1"/>
    <s v="12 LPA"/>
    <x v="2"/>
    <n v="43"/>
    <x v="3"/>
    <x v="1"/>
    <x v="11"/>
  </r>
  <r>
    <x v="273"/>
    <s v="Web Developer"/>
    <s v="Wipro"/>
    <x v="2"/>
    <s v="3 LPA"/>
    <x v="2"/>
    <n v="269"/>
    <x v="0"/>
    <x v="2"/>
    <x v="9"/>
  </r>
  <r>
    <x v="274"/>
    <s v="Frontend Developer"/>
    <s v="Accenture"/>
    <x v="4"/>
    <s v="5 LPA"/>
    <x v="1"/>
    <n v="117"/>
    <x v="5"/>
    <x v="2"/>
    <x v="0"/>
  </r>
  <r>
    <x v="275"/>
    <s v="Frontend Developer"/>
    <s v="Infosys"/>
    <x v="4"/>
    <s v="9 LPA"/>
    <x v="0"/>
    <n v="32"/>
    <x v="0"/>
    <x v="1"/>
    <x v="10"/>
  </r>
  <r>
    <x v="276"/>
    <s v="HR Manager"/>
    <s v="TCS"/>
    <x v="0"/>
    <s v="3 LPA"/>
    <x v="2"/>
    <n v="255"/>
    <x v="1"/>
    <x v="1"/>
    <x v="7"/>
  </r>
  <r>
    <x v="277"/>
    <s v="Web Developer"/>
    <s v="Capgemini"/>
    <x v="3"/>
    <s v="7 LPA"/>
    <x v="1"/>
    <n v="108"/>
    <x v="5"/>
    <x v="1"/>
    <x v="3"/>
  </r>
  <r>
    <x v="278"/>
    <s v="Software Engineer"/>
    <s v="Accenture"/>
    <x v="1"/>
    <s v="4 LPA"/>
    <x v="1"/>
    <n v="207"/>
    <x v="3"/>
    <x v="2"/>
    <x v="0"/>
  </r>
  <r>
    <x v="279"/>
    <s v="Web Developer"/>
    <s v="Accenture"/>
    <x v="2"/>
    <s v="11 LPA"/>
    <x v="0"/>
    <n v="197"/>
    <x v="3"/>
    <x v="1"/>
    <x v="1"/>
  </r>
  <r>
    <x v="280"/>
    <s v="Backend Developer"/>
    <s v="Accenture"/>
    <x v="1"/>
    <s v="9 LPA"/>
    <x v="2"/>
    <n v="235"/>
    <x v="1"/>
    <x v="1"/>
    <x v="5"/>
  </r>
  <r>
    <x v="281"/>
    <s v="Backend Developer"/>
    <s v="Accenture"/>
    <x v="2"/>
    <s v="7 LPA"/>
    <x v="0"/>
    <n v="32"/>
    <x v="0"/>
    <x v="0"/>
    <x v="5"/>
  </r>
  <r>
    <x v="282"/>
    <s v="Data Analyst"/>
    <s v="Accenture"/>
    <x v="0"/>
    <s v="4 LPA"/>
    <x v="2"/>
    <n v="45"/>
    <x v="5"/>
    <x v="0"/>
    <x v="6"/>
  </r>
  <r>
    <x v="283"/>
    <s v="Backend Developer"/>
    <s v="Wipro"/>
    <x v="0"/>
    <s v="3 LPA"/>
    <x v="1"/>
    <n v="143"/>
    <x v="1"/>
    <x v="2"/>
    <x v="6"/>
  </r>
  <r>
    <x v="284"/>
    <s v="Web Developer"/>
    <s v="TCS"/>
    <x v="0"/>
    <s v="9 LPA"/>
    <x v="0"/>
    <n v="205"/>
    <x v="5"/>
    <x v="1"/>
    <x v="6"/>
  </r>
  <r>
    <x v="285"/>
    <s v="Frontend Developer"/>
    <s v="Capgemini"/>
    <x v="2"/>
    <s v="7 LPA"/>
    <x v="0"/>
    <n v="205"/>
    <x v="0"/>
    <x v="1"/>
    <x v="5"/>
  </r>
  <r>
    <x v="286"/>
    <s v="HR Manager"/>
    <s v="Accenture"/>
    <x v="0"/>
    <s v="3 LPA"/>
    <x v="2"/>
    <n v="43"/>
    <x v="0"/>
    <x v="1"/>
    <x v="11"/>
  </r>
  <r>
    <x v="287"/>
    <s v="Data Analyst"/>
    <s v="Accenture"/>
    <x v="0"/>
    <s v="9 LPA"/>
    <x v="0"/>
    <n v="105"/>
    <x v="2"/>
    <x v="2"/>
    <x v="7"/>
  </r>
  <r>
    <x v="288"/>
    <s v="Backend Developer"/>
    <s v="Wipro"/>
    <x v="0"/>
    <s v="6 LPA"/>
    <x v="0"/>
    <n v="161"/>
    <x v="5"/>
    <x v="2"/>
    <x v="4"/>
  </r>
  <r>
    <x v="289"/>
    <s v="Frontend Developer"/>
    <s v="Accenture"/>
    <x v="2"/>
    <s v="12 LPA"/>
    <x v="0"/>
    <n v="42"/>
    <x v="0"/>
    <x v="2"/>
    <x v="3"/>
  </r>
  <r>
    <x v="290"/>
    <s v="Web Developer"/>
    <s v="HCL"/>
    <x v="3"/>
    <s v="5 LPA"/>
    <x v="2"/>
    <n v="252"/>
    <x v="5"/>
    <x v="0"/>
    <x v="4"/>
  </r>
  <r>
    <x v="291"/>
    <s v="Data Analyst"/>
    <s v="Capgemini"/>
    <x v="1"/>
    <s v="5 LPA"/>
    <x v="0"/>
    <n v="74"/>
    <x v="2"/>
    <x v="1"/>
    <x v="2"/>
  </r>
  <r>
    <x v="292"/>
    <s v="Backend Developer"/>
    <s v="Wipro"/>
    <x v="3"/>
    <s v="7 LPA"/>
    <x v="1"/>
    <n v="87"/>
    <x v="5"/>
    <x v="1"/>
    <x v="5"/>
  </r>
  <r>
    <x v="293"/>
    <s v="Frontend Developer"/>
    <s v="TCS"/>
    <x v="2"/>
    <s v="7 LPA"/>
    <x v="0"/>
    <n v="213"/>
    <x v="0"/>
    <x v="2"/>
    <x v="3"/>
  </r>
  <r>
    <x v="294"/>
    <s v="Web Developer"/>
    <s v="Infosys"/>
    <x v="0"/>
    <s v="12 LPA"/>
    <x v="2"/>
    <n v="97"/>
    <x v="5"/>
    <x v="0"/>
    <x v="11"/>
  </r>
  <r>
    <x v="295"/>
    <s v="HR Manager"/>
    <s v="Capgemini"/>
    <x v="3"/>
    <s v="7 LPA"/>
    <x v="2"/>
    <n v="297"/>
    <x v="3"/>
    <x v="1"/>
    <x v="7"/>
  </r>
  <r>
    <x v="296"/>
    <s v="Software Engineer"/>
    <s v="TCS"/>
    <x v="4"/>
    <s v="9 LPA"/>
    <x v="0"/>
    <n v="104"/>
    <x v="2"/>
    <x v="1"/>
    <x v="10"/>
  </r>
  <r>
    <x v="297"/>
    <s v="Web Developer"/>
    <s v="Wipro"/>
    <x v="0"/>
    <s v="10 LPA"/>
    <x v="0"/>
    <n v="178"/>
    <x v="4"/>
    <x v="0"/>
    <x v="8"/>
  </r>
  <r>
    <x v="298"/>
    <s v="Frontend Developer"/>
    <s v="Infosys"/>
    <x v="4"/>
    <s v="8 LPA"/>
    <x v="2"/>
    <n v="42"/>
    <x v="5"/>
    <x v="0"/>
    <x v="7"/>
  </r>
  <r>
    <x v="299"/>
    <s v="Web Developer"/>
    <s v="TCS"/>
    <x v="2"/>
    <s v="10 LPA"/>
    <x v="2"/>
    <n v="64"/>
    <x v="3"/>
    <x v="2"/>
    <x v="1"/>
  </r>
  <r>
    <x v="300"/>
    <s v="Frontend Developer"/>
    <s v="HCL"/>
    <x v="4"/>
    <s v="7 LPA"/>
    <x v="0"/>
    <n v="104"/>
    <x v="0"/>
    <x v="0"/>
    <x v="6"/>
  </r>
  <r>
    <x v="301"/>
    <s v="Web Developer"/>
    <s v="Capgemini"/>
    <x v="4"/>
    <s v="3 LPA"/>
    <x v="2"/>
    <n v="189"/>
    <x v="3"/>
    <x v="0"/>
    <x v="6"/>
  </r>
  <r>
    <x v="302"/>
    <s v="Web Developer"/>
    <s v="TCS"/>
    <x v="4"/>
    <s v="12 LPA"/>
    <x v="0"/>
    <n v="113"/>
    <x v="0"/>
    <x v="2"/>
    <x v="9"/>
  </r>
  <r>
    <x v="303"/>
    <s v="HR Manager"/>
    <s v="Infosys"/>
    <x v="4"/>
    <s v="4 LPA"/>
    <x v="1"/>
    <n v="173"/>
    <x v="2"/>
    <x v="0"/>
    <x v="8"/>
  </r>
  <r>
    <x v="304"/>
    <s v="Web Developer"/>
    <s v="Wipro"/>
    <x v="3"/>
    <s v="9 LPA"/>
    <x v="2"/>
    <n v="153"/>
    <x v="3"/>
    <x v="2"/>
    <x v="0"/>
  </r>
  <r>
    <x v="305"/>
    <s v="Web Developer"/>
    <s v="Accenture"/>
    <x v="2"/>
    <s v="4 LPA"/>
    <x v="1"/>
    <n v="204"/>
    <x v="1"/>
    <x v="0"/>
    <x v="10"/>
  </r>
  <r>
    <x v="306"/>
    <s v="Web Developer"/>
    <s v="TCS"/>
    <x v="3"/>
    <s v="4 LPA"/>
    <x v="2"/>
    <n v="155"/>
    <x v="4"/>
    <x v="1"/>
    <x v="10"/>
  </r>
  <r>
    <x v="307"/>
    <s v="Frontend Developer"/>
    <s v="Wipro"/>
    <x v="2"/>
    <s v="6 LPA"/>
    <x v="0"/>
    <n v="130"/>
    <x v="1"/>
    <x v="2"/>
    <x v="5"/>
  </r>
  <r>
    <x v="308"/>
    <s v="Web Developer"/>
    <s v="Infosys"/>
    <x v="0"/>
    <s v="4 LPA"/>
    <x v="0"/>
    <n v="268"/>
    <x v="1"/>
    <x v="0"/>
    <x v="9"/>
  </r>
  <r>
    <x v="309"/>
    <s v="Backend Developer"/>
    <s v="Infosys"/>
    <x v="4"/>
    <s v="4 LPA"/>
    <x v="2"/>
    <n v="191"/>
    <x v="4"/>
    <x v="1"/>
    <x v="0"/>
  </r>
  <r>
    <x v="310"/>
    <s v="Backend Developer"/>
    <s v="Capgemini"/>
    <x v="2"/>
    <s v="6 LPA"/>
    <x v="0"/>
    <n v="234"/>
    <x v="5"/>
    <x v="0"/>
    <x v="5"/>
  </r>
  <r>
    <x v="311"/>
    <s v="Data Analyst"/>
    <s v="TCS"/>
    <x v="1"/>
    <s v="7 LPA"/>
    <x v="1"/>
    <n v="36"/>
    <x v="0"/>
    <x v="0"/>
    <x v="3"/>
  </r>
  <r>
    <x v="312"/>
    <s v="Data Analyst"/>
    <s v="HCL"/>
    <x v="2"/>
    <s v="4 LPA"/>
    <x v="2"/>
    <n v="275"/>
    <x v="1"/>
    <x v="1"/>
    <x v="10"/>
  </r>
  <r>
    <x v="313"/>
    <s v="Frontend Developer"/>
    <s v="Capgemini"/>
    <x v="3"/>
    <s v="12 LPA"/>
    <x v="0"/>
    <n v="53"/>
    <x v="1"/>
    <x v="2"/>
    <x v="11"/>
  </r>
  <r>
    <x v="314"/>
    <s v="Backend Developer"/>
    <s v="Wipro"/>
    <x v="4"/>
    <s v="11 LPA"/>
    <x v="2"/>
    <n v="187"/>
    <x v="4"/>
    <x v="1"/>
    <x v="2"/>
  </r>
  <r>
    <x v="315"/>
    <s v="Web Developer"/>
    <s v="Infosys"/>
    <x v="2"/>
    <s v="10 LPA"/>
    <x v="1"/>
    <n v="201"/>
    <x v="0"/>
    <x v="1"/>
    <x v="8"/>
  </r>
  <r>
    <x v="316"/>
    <s v="Software Engineer"/>
    <s v="Accenture"/>
    <x v="0"/>
    <s v="11 LPA"/>
    <x v="0"/>
    <n v="70"/>
    <x v="3"/>
    <x v="1"/>
    <x v="8"/>
  </r>
  <r>
    <x v="317"/>
    <s v="Data Analyst"/>
    <s v="Infosys"/>
    <x v="1"/>
    <s v="4 LPA"/>
    <x v="1"/>
    <n v="195"/>
    <x v="5"/>
    <x v="1"/>
    <x v="4"/>
  </r>
  <r>
    <x v="318"/>
    <s v="Software Engineer"/>
    <s v="Capgemini"/>
    <x v="0"/>
    <s v="12 LPA"/>
    <x v="1"/>
    <n v="88"/>
    <x v="4"/>
    <x v="0"/>
    <x v="3"/>
  </r>
  <r>
    <x v="319"/>
    <s v="Software Engineer"/>
    <s v="Capgemini"/>
    <x v="3"/>
    <s v="6 LPA"/>
    <x v="1"/>
    <n v="111"/>
    <x v="5"/>
    <x v="0"/>
    <x v="3"/>
  </r>
  <r>
    <x v="320"/>
    <s v="Software Engineer"/>
    <s v="Infosys"/>
    <x v="4"/>
    <s v="4 LPA"/>
    <x v="1"/>
    <n v="200"/>
    <x v="0"/>
    <x v="2"/>
    <x v="11"/>
  </r>
  <r>
    <x v="321"/>
    <s v="Frontend Developer"/>
    <s v="Wipro"/>
    <x v="3"/>
    <s v="4 LPA"/>
    <x v="1"/>
    <n v="32"/>
    <x v="2"/>
    <x v="1"/>
    <x v="4"/>
  </r>
  <r>
    <x v="322"/>
    <s v="Data Analyst"/>
    <s v="Capgemini"/>
    <x v="1"/>
    <s v="9 LPA"/>
    <x v="2"/>
    <n v="269"/>
    <x v="3"/>
    <x v="0"/>
    <x v="1"/>
  </r>
  <r>
    <x v="323"/>
    <s v="Software Engineer"/>
    <s v="HCL"/>
    <x v="3"/>
    <s v="12 LPA"/>
    <x v="2"/>
    <n v="258"/>
    <x v="2"/>
    <x v="1"/>
    <x v="2"/>
  </r>
  <r>
    <x v="324"/>
    <s v="Software Engineer"/>
    <s v="Capgemini"/>
    <x v="1"/>
    <s v="8 LPA"/>
    <x v="2"/>
    <n v="26"/>
    <x v="1"/>
    <x v="2"/>
    <x v="2"/>
  </r>
  <r>
    <x v="325"/>
    <s v="Data Analyst"/>
    <s v="Wipro"/>
    <x v="1"/>
    <s v="7 LPA"/>
    <x v="2"/>
    <n v="180"/>
    <x v="3"/>
    <x v="1"/>
    <x v="4"/>
  </r>
  <r>
    <x v="326"/>
    <s v="Frontend Developer"/>
    <s v="Wipro"/>
    <x v="3"/>
    <s v="7 LPA"/>
    <x v="1"/>
    <n v="181"/>
    <x v="1"/>
    <x v="1"/>
    <x v="7"/>
  </r>
  <r>
    <x v="327"/>
    <s v="Frontend Developer"/>
    <s v="HCL"/>
    <x v="4"/>
    <s v="11 LPA"/>
    <x v="2"/>
    <n v="291"/>
    <x v="2"/>
    <x v="0"/>
    <x v="6"/>
  </r>
  <r>
    <x v="328"/>
    <s v="HR Manager"/>
    <s v="HCL"/>
    <x v="2"/>
    <s v="4 LPA"/>
    <x v="1"/>
    <n v="272"/>
    <x v="5"/>
    <x v="2"/>
    <x v="2"/>
  </r>
  <r>
    <x v="329"/>
    <s v="Data Analyst"/>
    <s v="Accenture"/>
    <x v="0"/>
    <s v="11 LPA"/>
    <x v="0"/>
    <n v="147"/>
    <x v="1"/>
    <x v="0"/>
    <x v="7"/>
  </r>
  <r>
    <x v="330"/>
    <s v="Software Engineer"/>
    <s v="TCS"/>
    <x v="1"/>
    <s v="4 LPA"/>
    <x v="0"/>
    <n v="116"/>
    <x v="2"/>
    <x v="2"/>
    <x v="5"/>
  </r>
  <r>
    <x v="331"/>
    <s v="HR Manager"/>
    <s v="TCS"/>
    <x v="1"/>
    <s v="12 LPA"/>
    <x v="1"/>
    <n v="277"/>
    <x v="4"/>
    <x v="0"/>
    <x v="2"/>
  </r>
  <r>
    <x v="332"/>
    <s v="Data Analyst"/>
    <s v="Wipro"/>
    <x v="1"/>
    <s v="3 LPA"/>
    <x v="0"/>
    <n v="60"/>
    <x v="0"/>
    <x v="2"/>
    <x v="0"/>
  </r>
  <r>
    <x v="333"/>
    <s v="Software Engineer"/>
    <s v="Wipro"/>
    <x v="1"/>
    <s v="12 LPA"/>
    <x v="0"/>
    <n v="236"/>
    <x v="5"/>
    <x v="1"/>
    <x v="3"/>
  </r>
  <r>
    <x v="334"/>
    <s v="Data Analyst"/>
    <s v="Capgemini"/>
    <x v="4"/>
    <s v="5 LPA"/>
    <x v="1"/>
    <n v="79"/>
    <x v="1"/>
    <x v="1"/>
    <x v="7"/>
  </r>
  <r>
    <x v="335"/>
    <s v="Software Engineer"/>
    <s v="Capgemini"/>
    <x v="3"/>
    <s v="10 LPA"/>
    <x v="0"/>
    <n v="138"/>
    <x v="3"/>
    <x v="1"/>
    <x v="7"/>
  </r>
  <r>
    <x v="336"/>
    <s v="HR Manager"/>
    <s v="Wipro"/>
    <x v="1"/>
    <s v="7 LPA"/>
    <x v="0"/>
    <n v="211"/>
    <x v="1"/>
    <x v="2"/>
    <x v="2"/>
  </r>
  <r>
    <x v="337"/>
    <s v="Web Developer"/>
    <s v="HCL"/>
    <x v="1"/>
    <s v="10 LPA"/>
    <x v="0"/>
    <n v="291"/>
    <x v="3"/>
    <x v="2"/>
    <x v="1"/>
  </r>
  <r>
    <x v="338"/>
    <s v="HR Manager"/>
    <s v="Accenture"/>
    <x v="4"/>
    <s v="12 LPA"/>
    <x v="2"/>
    <n v="295"/>
    <x v="3"/>
    <x v="0"/>
    <x v="8"/>
  </r>
  <r>
    <x v="339"/>
    <s v="Web Developer"/>
    <s v="Wipro"/>
    <x v="3"/>
    <s v="9 LPA"/>
    <x v="2"/>
    <n v="263"/>
    <x v="0"/>
    <x v="0"/>
    <x v="5"/>
  </r>
  <r>
    <x v="340"/>
    <s v="Frontend Developer"/>
    <s v="Infosys"/>
    <x v="0"/>
    <s v="12 LPA"/>
    <x v="0"/>
    <n v="103"/>
    <x v="2"/>
    <x v="0"/>
    <x v="10"/>
  </r>
  <r>
    <x v="341"/>
    <s v="Backend Developer"/>
    <s v="Infosys"/>
    <x v="1"/>
    <s v="7 LPA"/>
    <x v="1"/>
    <n v="173"/>
    <x v="2"/>
    <x v="0"/>
    <x v="8"/>
  </r>
  <r>
    <x v="342"/>
    <s v="Software Engineer"/>
    <s v="TCS"/>
    <x v="0"/>
    <s v="3 LPA"/>
    <x v="1"/>
    <n v="29"/>
    <x v="1"/>
    <x v="1"/>
    <x v="9"/>
  </r>
  <r>
    <x v="343"/>
    <s v="Frontend Developer"/>
    <s v="HCL"/>
    <x v="2"/>
    <s v="11 LPA"/>
    <x v="2"/>
    <n v="177"/>
    <x v="5"/>
    <x v="0"/>
    <x v="10"/>
  </r>
  <r>
    <x v="344"/>
    <s v="Software Engineer"/>
    <s v="HCL"/>
    <x v="1"/>
    <s v="3 LPA"/>
    <x v="0"/>
    <n v="231"/>
    <x v="1"/>
    <x v="1"/>
    <x v="4"/>
  </r>
  <r>
    <x v="345"/>
    <s v="Data Analyst"/>
    <s v="Wipro"/>
    <x v="3"/>
    <s v="12 LPA"/>
    <x v="2"/>
    <n v="176"/>
    <x v="1"/>
    <x v="1"/>
    <x v="1"/>
  </r>
  <r>
    <x v="346"/>
    <s v="Web Developer"/>
    <s v="Accenture"/>
    <x v="3"/>
    <s v="4 LPA"/>
    <x v="0"/>
    <n v="172"/>
    <x v="4"/>
    <x v="1"/>
    <x v="10"/>
  </r>
  <r>
    <x v="347"/>
    <s v="Data Analyst"/>
    <s v="Infosys"/>
    <x v="0"/>
    <s v="7 LPA"/>
    <x v="2"/>
    <n v="130"/>
    <x v="0"/>
    <x v="0"/>
    <x v="7"/>
  </r>
  <r>
    <x v="348"/>
    <s v="HR Manager"/>
    <s v="TCS"/>
    <x v="2"/>
    <s v="11 LPA"/>
    <x v="2"/>
    <n v="285"/>
    <x v="0"/>
    <x v="1"/>
    <x v="1"/>
  </r>
  <r>
    <x v="349"/>
    <s v="HR Manager"/>
    <s v="Accenture"/>
    <x v="0"/>
    <s v="9 LPA"/>
    <x v="1"/>
    <n v="37"/>
    <x v="5"/>
    <x v="2"/>
    <x v="3"/>
  </r>
  <r>
    <x v="350"/>
    <s v="Software Engineer"/>
    <s v="Infosys"/>
    <x v="4"/>
    <s v="9 LPA"/>
    <x v="1"/>
    <n v="34"/>
    <x v="4"/>
    <x v="1"/>
    <x v="5"/>
  </r>
  <r>
    <x v="351"/>
    <s v="HR Manager"/>
    <s v="Infosys"/>
    <x v="3"/>
    <s v="7 LPA"/>
    <x v="1"/>
    <n v="32"/>
    <x v="5"/>
    <x v="2"/>
    <x v="10"/>
  </r>
  <r>
    <x v="352"/>
    <s v="Frontend Developer"/>
    <s v="Wipro"/>
    <x v="3"/>
    <s v="9 LPA"/>
    <x v="0"/>
    <n v="154"/>
    <x v="3"/>
    <x v="1"/>
    <x v="7"/>
  </r>
  <r>
    <x v="353"/>
    <s v="Web Developer"/>
    <s v="HCL"/>
    <x v="1"/>
    <s v="8 LPA"/>
    <x v="0"/>
    <n v="95"/>
    <x v="2"/>
    <x v="2"/>
    <x v="11"/>
  </r>
  <r>
    <x v="354"/>
    <s v="Web Developer"/>
    <s v="TCS"/>
    <x v="2"/>
    <s v="6 LPA"/>
    <x v="0"/>
    <n v="50"/>
    <x v="1"/>
    <x v="0"/>
    <x v="6"/>
  </r>
  <r>
    <x v="355"/>
    <s v="Data Analyst"/>
    <s v="Wipro"/>
    <x v="3"/>
    <s v="7 LPA"/>
    <x v="2"/>
    <n v="105"/>
    <x v="0"/>
    <x v="1"/>
    <x v="7"/>
  </r>
  <r>
    <x v="356"/>
    <s v="Data Analyst"/>
    <s v="Wipro"/>
    <x v="4"/>
    <s v="10 LPA"/>
    <x v="0"/>
    <n v="116"/>
    <x v="1"/>
    <x v="2"/>
    <x v="11"/>
  </r>
  <r>
    <x v="357"/>
    <s v="Web Developer"/>
    <s v="Accenture"/>
    <x v="3"/>
    <s v="7 LPA"/>
    <x v="2"/>
    <n v="211"/>
    <x v="3"/>
    <x v="1"/>
    <x v="8"/>
  </r>
  <r>
    <x v="358"/>
    <s v="Software Engineer"/>
    <s v="HCL"/>
    <x v="0"/>
    <s v="4 LPA"/>
    <x v="1"/>
    <n v="173"/>
    <x v="2"/>
    <x v="0"/>
    <x v="11"/>
  </r>
  <r>
    <x v="359"/>
    <s v="Backend Developer"/>
    <s v="Infosys"/>
    <x v="2"/>
    <s v="4 LPA"/>
    <x v="1"/>
    <n v="135"/>
    <x v="3"/>
    <x v="2"/>
    <x v="10"/>
  </r>
  <r>
    <x v="360"/>
    <s v="Software Engineer"/>
    <s v="Infosys"/>
    <x v="3"/>
    <s v="5 LPA"/>
    <x v="1"/>
    <n v="35"/>
    <x v="2"/>
    <x v="0"/>
    <x v="6"/>
  </r>
  <r>
    <x v="361"/>
    <s v="HR Manager"/>
    <s v="Capgemini"/>
    <x v="3"/>
    <s v="7 LPA"/>
    <x v="1"/>
    <n v="261"/>
    <x v="4"/>
    <x v="1"/>
    <x v="2"/>
  </r>
  <r>
    <x v="362"/>
    <s v="Backend Developer"/>
    <s v="Capgemini"/>
    <x v="3"/>
    <s v="4 LPA"/>
    <x v="0"/>
    <n v="103"/>
    <x v="3"/>
    <x v="1"/>
    <x v="11"/>
  </r>
  <r>
    <x v="363"/>
    <s v="Backend Developer"/>
    <s v="HCL"/>
    <x v="3"/>
    <s v="8 LPA"/>
    <x v="0"/>
    <n v="275"/>
    <x v="3"/>
    <x v="0"/>
    <x v="1"/>
  </r>
  <r>
    <x v="364"/>
    <s v="Data Analyst"/>
    <s v="Accenture"/>
    <x v="2"/>
    <s v="3 LPA"/>
    <x v="0"/>
    <n v="276"/>
    <x v="2"/>
    <x v="2"/>
    <x v="10"/>
  </r>
  <r>
    <x v="365"/>
    <s v="HR Manager"/>
    <s v="Accenture"/>
    <x v="3"/>
    <s v="7 LPA"/>
    <x v="0"/>
    <n v="245"/>
    <x v="0"/>
    <x v="1"/>
    <x v="1"/>
  </r>
  <r>
    <x v="366"/>
    <s v="Backend Developer"/>
    <s v="HCL"/>
    <x v="3"/>
    <s v="8 LPA"/>
    <x v="1"/>
    <n v="198"/>
    <x v="1"/>
    <x v="0"/>
    <x v="0"/>
  </r>
  <r>
    <x v="367"/>
    <s v="Data Analyst"/>
    <s v="Wipro"/>
    <x v="1"/>
    <s v="7 LPA"/>
    <x v="0"/>
    <n v="85"/>
    <x v="0"/>
    <x v="0"/>
    <x v="0"/>
  </r>
  <r>
    <x v="368"/>
    <s v="Backend Developer"/>
    <s v="Wipro"/>
    <x v="2"/>
    <s v="9 LPA"/>
    <x v="0"/>
    <n v="104"/>
    <x v="2"/>
    <x v="0"/>
    <x v="8"/>
  </r>
  <r>
    <x v="369"/>
    <s v="Software Engineer"/>
    <s v="Infosys"/>
    <x v="4"/>
    <s v="6 LPA"/>
    <x v="0"/>
    <n v="266"/>
    <x v="0"/>
    <x v="0"/>
    <x v="4"/>
  </r>
  <r>
    <x v="370"/>
    <s v="Frontend Developer"/>
    <s v="Infosys"/>
    <x v="0"/>
    <s v="3 LPA"/>
    <x v="0"/>
    <n v="212"/>
    <x v="3"/>
    <x v="0"/>
    <x v="2"/>
  </r>
  <r>
    <x v="371"/>
    <s v="Frontend Developer"/>
    <s v="Infosys"/>
    <x v="4"/>
    <s v="6 LPA"/>
    <x v="2"/>
    <n v="295"/>
    <x v="0"/>
    <x v="1"/>
    <x v="9"/>
  </r>
  <r>
    <x v="372"/>
    <s v="Software Engineer"/>
    <s v="Accenture"/>
    <x v="2"/>
    <s v="12 LPA"/>
    <x v="1"/>
    <n v="207"/>
    <x v="3"/>
    <x v="1"/>
    <x v="10"/>
  </r>
  <r>
    <x v="373"/>
    <s v="Web Developer"/>
    <s v="Infosys"/>
    <x v="3"/>
    <s v="12 LPA"/>
    <x v="0"/>
    <n v="143"/>
    <x v="0"/>
    <x v="1"/>
    <x v="3"/>
  </r>
  <r>
    <x v="374"/>
    <s v="HR Manager"/>
    <s v="Capgemini"/>
    <x v="2"/>
    <s v="7 LPA"/>
    <x v="0"/>
    <n v="37"/>
    <x v="2"/>
    <x v="0"/>
    <x v="7"/>
  </r>
  <r>
    <x v="375"/>
    <s v="Backend Developer"/>
    <s v="HCL"/>
    <x v="1"/>
    <s v="9 LPA"/>
    <x v="2"/>
    <n v="212"/>
    <x v="0"/>
    <x v="2"/>
    <x v="9"/>
  </r>
  <r>
    <x v="376"/>
    <s v="HR Manager"/>
    <s v="HCL"/>
    <x v="2"/>
    <s v="10 LPA"/>
    <x v="2"/>
    <n v="23"/>
    <x v="2"/>
    <x v="0"/>
    <x v="10"/>
  </r>
  <r>
    <x v="377"/>
    <s v="Data Analyst"/>
    <s v="TCS"/>
    <x v="3"/>
    <s v="6 LPA"/>
    <x v="2"/>
    <n v="267"/>
    <x v="4"/>
    <x v="0"/>
    <x v="1"/>
  </r>
  <r>
    <x v="378"/>
    <s v="Data Analyst"/>
    <s v="Wipro"/>
    <x v="3"/>
    <s v="9 LPA"/>
    <x v="0"/>
    <n v="263"/>
    <x v="2"/>
    <x v="2"/>
    <x v="11"/>
  </r>
  <r>
    <x v="379"/>
    <s v="Backend Developer"/>
    <s v="Infosys"/>
    <x v="4"/>
    <s v="6 LPA"/>
    <x v="2"/>
    <n v="143"/>
    <x v="4"/>
    <x v="1"/>
    <x v="8"/>
  </r>
  <r>
    <x v="380"/>
    <s v="Software Engineer"/>
    <s v="Capgemini"/>
    <x v="1"/>
    <s v="7 LPA"/>
    <x v="1"/>
    <n v="91"/>
    <x v="0"/>
    <x v="2"/>
    <x v="10"/>
  </r>
  <r>
    <x v="381"/>
    <s v="HR Manager"/>
    <s v="HCL"/>
    <x v="3"/>
    <s v="6 LPA"/>
    <x v="0"/>
    <n v="51"/>
    <x v="5"/>
    <x v="1"/>
    <x v="11"/>
  </r>
  <r>
    <x v="382"/>
    <s v="Data Analyst"/>
    <s v="TCS"/>
    <x v="3"/>
    <s v="12 LPA"/>
    <x v="0"/>
    <n v="185"/>
    <x v="2"/>
    <x v="0"/>
    <x v="8"/>
  </r>
  <r>
    <x v="383"/>
    <s v="Data Analyst"/>
    <s v="TCS"/>
    <x v="2"/>
    <s v="3 LPA"/>
    <x v="2"/>
    <n v="75"/>
    <x v="3"/>
    <x v="1"/>
    <x v="5"/>
  </r>
  <r>
    <x v="384"/>
    <s v="Web Developer"/>
    <s v="Infosys"/>
    <x v="1"/>
    <s v="6 LPA"/>
    <x v="0"/>
    <n v="257"/>
    <x v="0"/>
    <x v="2"/>
    <x v="7"/>
  </r>
  <r>
    <x v="385"/>
    <s v="Data Analyst"/>
    <s v="HCL"/>
    <x v="1"/>
    <s v="9 LPA"/>
    <x v="2"/>
    <n v="201"/>
    <x v="3"/>
    <x v="1"/>
    <x v="11"/>
  </r>
  <r>
    <x v="386"/>
    <s v="HR Manager"/>
    <s v="Wipro"/>
    <x v="4"/>
    <s v="10 LPA"/>
    <x v="2"/>
    <n v="231"/>
    <x v="4"/>
    <x v="2"/>
    <x v="8"/>
  </r>
  <r>
    <x v="387"/>
    <s v="Software Engineer"/>
    <s v="Infosys"/>
    <x v="0"/>
    <s v="3 LPA"/>
    <x v="2"/>
    <n v="35"/>
    <x v="4"/>
    <x v="0"/>
    <x v="4"/>
  </r>
  <r>
    <x v="388"/>
    <s v="Data Analyst"/>
    <s v="Accenture"/>
    <x v="0"/>
    <s v="8 LPA"/>
    <x v="1"/>
    <n v="173"/>
    <x v="3"/>
    <x v="0"/>
    <x v="0"/>
  </r>
  <r>
    <x v="389"/>
    <s v="Web Developer"/>
    <s v="Capgemini"/>
    <x v="0"/>
    <s v="9 LPA"/>
    <x v="0"/>
    <n v="174"/>
    <x v="1"/>
    <x v="1"/>
    <x v="5"/>
  </r>
  <r>
    <x v="390"/>
    <s v="Software Engineer"/>
    <s v="Infosys"/>
    <x v="1"/>
    <s v="3 LPA"/>
    <x v="1"/>
    <n v="73"/>
    <x v="1"/>
    <x v="2"/>
    <x v="7"/>
  </r>
  <r>
    <x v="391"/>
    <s v="Web Developer"/>
    <s v="HCL"/>
    <x v="2"/>
    <s v="10 LPA"/>
    <x v="2"/>
    <n v="94"/>
    <x v="3"/>
    <x v="1"/>
    <x v="1"/>
  </r>
  <r>
    <x v="392"/>
    <s v="Backend Developer"/>
    <s v="HCL"/>
    <x v="2"/>
    <s v="7 LPA"/>
    <x v="0"/>
    <n v="108"/>
    <x v="3"/>
    <x v="2"/>
    <x v="3"/>
  </r>
  <r>
    <x v="393"/>
    <s v="HR Manager"/>
    <s v="Wipro"/>
    <x v="4"/>
    <s v="11 LPA"/>
    <x v="1"/>
    <n v="278"/>
    <x v="1"/>
    <x v="0"/>
    <x v="3"/>
  </r>
  <r>
    <x v="394"/>
    <s v="Frontend Developer"/>
    <s v="HCL"/>
    <x v="2"/>
    <s v="6 LPA"/>
    <x v="2"/>
    <n v="135"/>
    <x v="3"/>
    <x v="2"/>
    <x v="8"/>
  </r>
  <r>
    <x v="395"/>
    <s v="Frontend Developer"/>
    <s v="Wipro"/>
    <x v="0"/>
    <s v="3 LPA"/>
    <x v="1"/>
    <n v="173"/>
    <x v="3"/>
    <x v="2"/>
    <x v="11"/>
  </r>
  <r>
    <x v="396"/>
    <s v="Frontend Developer"/>
    <s v="TCS"/>
    <x v="2"/>
    <s v="12 LPA"/>
    <x v="0"/>
    <n v="32"/>
    <x v="2"/>
    <x v="1"/>
    <x v="1"/>
  </r>
  <r>
    <x v="397"/>
    <s v="Frontend Developer"/>
    <s v="HCL"/>
    <x v="2"/>
    <s v="12 LPA"/>
    <x v="2"/>
    <n v="39"/>
    <x v="3"/>
    <x v="1"/>
    <x v="2"/>
  </r>
  <r>
    <x v="398"/>
    <s v="Data Analyst"/>
    <s v="Accenture"/>
    <x v="0"/>
    <s v="4 LPA"/>
    <x v="2"/>
    <n v="137"/>
    <x v="0"/>
    <x v="0"/>
    <x v="4"/>
  </r>
  <r>
    <x v="399"/>
    <s v="Data Analyst"/>
    <s v="TCS"/>
    <x v="1"/>
    <s v="9 LPA"/>
    <x v="1"/>
    <n v="248"/>
    <x v="5"/>
    <x v="1"/>
    <x v="6"/>
  </r>
  <r>
    <x v="400"/>
    <s v="Data Analyst"/>
    <s v="HCL"/>
    <x v="4"/>
    <s v="6 LPA"/>
    <x v="1"/>
    <n v="292"/>
    <x v="3"/>
    <x v="2"/>
    <x v="8"/>
  </r>
  <r>
    <x v="401"/>
    <s v="HR Manager"/>
    <s v="HCL"/>
    <x v="4"/>
    <s v="10 LPA"/>
    <x v="0"/>
    <n v="140"/>
    <x v="3"/>
    <x v="1"/>
    <x v="2"/>
  </r>
  <r>
    <x v="402"/>
    <s v="Backend Developer"/>
    <s v="Wipro"/>
    <x v="2"/>
    <s v="8 LPA"/>
    <x v="0"/>
    <n v="233"/>
    <x v="3"/>
    <x v="1"/>
    <x v="4"/>
  </r>
  <r>
    <x v="403"/>
    <s v="Frontend Developer"/>
    <s v="Infosys"/>
    <x v="3"/>
    <s v="4 LPA"/>
    <x v="2"/>
    <n v="211"/>
    <x v="3"/>
    <x v="2"/>
    <x v="6"/>
  </r>
  <r>
    <x v="404"/>
    <s v="Backend Developer"/>
    <s v="Infosys"/>
    <x v="0"/>
    <s v="5 LPA"/>
    <x v="1"/>
    <n v="169"/>
    <x v="4"/>
    <x v="1"/>
    <x v="4"/>
  </r>
  <r>
    <x v="405"/>
    <s v="Frontend Developer"/>
    <s v="Wipro"/>
    <x v="1"/>
    <s v="3 LPA"/>
    <x v="0"/>
    <n v="289"/>
    <x v="1"/>
    <x v="0"/>
    <x v="8"/>
  </r>
  <r>
    <x v="406"/>
    <s v="Software Engineer"/>
    <s v="Wipro"/>
    <x v="2"/>
    <s v="8 LPA"/>
    <x v="0"/>
    <n v="128"/>
    <x v="0"/>
    <x v="0"/>
    <x v="5"/>
  </r>
  <r>
    <x v="407"/>
    <s v="HR Manager"/>
    <s v="Infosys"/>
    <x v="1"/>
    <s v="3 LPA"/>
    <x v="1"/>
    <n v="216"/>
    <x v="4"/>
    <x v="1"/>
    <x v="11"/>
  </r>
  <r>
    <x v="408"/>
    <s v="Software Engineer"/>
    <s v="Accenture"/>
    <x v="1"/>
    <s v="7 LPA"/>
    <x v="2"/>
    <n v="238"/>
    <x v="0"/>
    <x v="1"/>
    <x v="4"/>
  </r>
  <r>
    <x v="409"/>
    <s v="Backend Developer"/>
    <s v="TCS"/>
    <x v="3"/>
    <s v="11 LPA"/>
    <x v="2"/>
    <n v="300"/>
    <x v="0"/>
    <x v="1"/>
    <x v="11"/>
  </r>
  <r>
    <x v="410"/>
    <s v="HR Manager"/>
    <s v="TCS"/>
    <x v="2"/>
    <s v="11 LPA"/>
    <x v="2"/>
    <n v="202"/>
    <x v="0"/>
    <x v="2"/>
    <x v="4"/>
  </r>
  <r>
    <x v="411"/>
    <s v="HR Manager"/>
    <s v="HCL"/>
    <x v="1"/>
    <s v="4 LPA"/>
    <x v="0"/>
    <n v="208"/>
    <x v="1"/>
    <x v="1"/>
    <x v="11"/>
  </r>
  <r>
    <x v="412"/>
    <s v="Software Engineer"/>
    <s v="HCL"/>
    <x v="1"/>
    <s v="4 LPA"/>
    <x v="2"/>
    <n v="86"/>
    <x v="3"/>
    <x v="1"/>
    <x v="9"/>
  </r>
  <r>
    <x v="413"/>
    <s v="Software Engineer"/>
    <s v="TCS"/>
    <x v="0"/>
    <s v="11 LPA"/>
    <x v="0"/>
    <n v="216"/>
    <x v="1"/>
    <x v="0"/>
    <x v="9"/>
  </r>
  <r>
    <x v="414"/>
    <s v="Web Developer"/>
    <s v="Capgemini"/>
    <x v="3"/>
    <s v="7 LPA"/>
    <x v="0"/>
    <n v="166"/>
    <x v="1"/>
    <x v="0"/>
    <x v="3"/>
  </r>
  <r>
    <x v="415"/>
    <s v="Web Developer"/>
    <s v="Accenture"/>
    <x v="0"/>
    <s v="5 LPA"/>
    <x v="0"/>
    <n v="244"/>
    <x v="3"/>
    <x v="2"/>
    <x v="2"/>
  </r>
  <r>
    <x v="416"/>
    <s v="Software Engineer"/>
    <s v="HCL"/>
    <x v="4"/>
    <s v="11 LPA"/>
    <x v="1"/>
    <n v="260"/>
    <x v="0"/>
    <x v="1"/>
    <x v="6"/>
  </r>
  <r>
    <x v="417"/>
    <s v="Software Engineer"/>
    <s v="Capgemini"/>
    <x v="1"/>
    <s v="6 LPA"/>
    <x v="1"/>
    <n v="68"/>
    <x v="5"/>
    <x v="1"/>
    <x v="4"/>
  </r>
  <r>
    <x v="418"/>
    <s v="Web Developer"/>
    <s v="Accenture"/>
    <x v="3"/>
    <s v="3 LPA"/>
    <x v="1"/>
    <n v="59"/>
    <x v="3"/>
    <x v="2"/>
    <x v="1"/>
  </r>
  <r>
    <x v="419"/>
    <s v="Frontend Developer"/>
    <s v="HCL"/>
    <x v="4"/>
    <s v="6 LPA"/>
    <x v="1"/>
    <n v="220"/>
    <x v="2"/>
    <x v="0"/>
    <x v="7"/>
  </r>
  <r>
    <x v="420"/>
    <s v="Web Developer"/>
    <s v="Infosys"/>
    <x v="0"/>
    <s v="4 LPA"/>
    <x v="2"/>
    <n v="220"/>
    <x v="4"/>
    <x v="2"/>
    <x v="0"/>
  </r>
  <r>
    <x v="421"/>
    <s v="Backend Developer"/>
    <s v="Wipro"/>
    <x v="1"/>
    <s v="8 LPA"/>
    <x v="1"/>
    <n v="225"/>
    <x v="3"/>
    <x v="0"/>
    <x v="1"/>
  </r>
  <r>
    <x v="422"/>
    <s v="Software Engineer"/>
    <s v="HCL"/>
    <x v="1"/>
    <s v="6 LPA"/>
    <x v="0"/>
    <n v="29"/>
    <x v="1"/>
    <x v="2"/>
    <x v="2"/>
  </r>
  <r>
    <x v="423"/>
    <s v="Frontend Developer"/>
    <s v="TCS"/>
    <x v="2"/>
    <s v="7 LPA"/>
    <x v="2"/>
    <n v="204"/>
    <x v="0"/>
    <x v="2"/>
    <x v="11"/>
  </r>
  <r>
    <x v="424"/>
    <s v="Frontend Developer"/>
    <s v="TCS"/>
    <x v="1"/>
    <s v="3 LPA"/>
    <x v="2"/>
    <n v="115"/>
    <x v="5"/>
    <x v="2"/>
    <x v="10"/>
  </r>
  <r>
    <x v="425"/>
    <s v="Data Analyst"/>
    <s v="HCL"/>
    <x v="0"/>
    <s v="10 LPA"/>
    <x v="1"/>
    <n v="298"/>
    <x v="4"/>
    <x v="1"/>
    <x v="10"/>
  </r>
  <r>
    <x v="426"/>
    <s v="Web Developer"/>
    <s v="Capgemini"/>
    <x v="4"/>
    <s v="10 LPA"/>
    <x v="0"/>
    <n v="166"/>
    <x v="3"/>
    <x v="2"/>
    <x v="6"/>
  </r>
  <r>
    <x v="427"/>
    <s v="Data Analyst"/>
    <s v="Capgemini"/>
    <x v="2"/>
    <s v="8 LPA"/>
    <x v="1"/>
    <n v="88"/>
    <x v="3"/>
    <x v="2"/>
    <x v="7"/>
  </r>
  <r>
    <x v="428"/>
    <s v="Backend Developer"/>
    <s v="Infosys"/>
    <x v="0"/>
    <s v="4 LPA"/>
    <x v="2"/>
    <n v="244"/>
    <x v="0"/>
    <x v="2"/>
    <x v="6"/>
  </r>
  <r>
    <x v="429"/>
    <s v="Software Engineer"/>
    <s v="HCL"/>
    <x v="2"/>
    <s v="11 LPA"/>
    <x v="2"/>
    <n v="168"/>
    <x v="1"/>
    <x v="2"/>
    <x v="1"/>
  </r>
  <r>
    <x v="430"/>
    <s v="Software Engineer"/>
    <s v="Accenture"/>
    <x v="2"/>
    <s v="8 LPA"/>
    <x v="2"/>
    <n v="56"/>
    <x v="4"/>
    <x v="1"/>
    <x v="7"/>
  </r>
  <r>
    <x v="431"/>
    <s v="Frontend Developer"/>
    <s v="Capgemini"/>
    <x v="2"/>
    <s v="6 LPA"/>
    <x v="0"/>
    <n v="204"/>
    <x v="0"/>
    <x v="2"/>
    <x v="7"/>
  </r>
  <r>
    <x v="432"/>
    <s v="HR Manager"/>
    <s v="TCS"/>
    <x v="4"/>
    <s v="11 LPA"/>
    <x v="2"/>
    <n v="20"/>
    <x v="3"/>
    <x v="1"/>
    <x v="6"/>
  </r>
  <r>
    <x v="433"/>
    <s v="HR Manager"/>
    <s v="Capgemini"/>
    <x v="4"/>
    <s v="12 LPA"/>
    <x v="2"/>
    <n v="243"/>
    <x v="0"/>
    <x v="1"/>
    <x v="2"/>
  </r>
  <r>
    <x v="434"/>
    <s v="HR Manager"/>
    <s v="Wipro"/>
    <x v="4"/>
    <s v="12 LPA"/>
    <x v="1"/>
    <n v="187"/>
    <x v="2"/>
    <x v="0"/>
    <x v="4"/>
  </r>
  <r>
    <x v="435"/>
    <s v="Web Developer"/>
    <s v="HCL"/>
    <x v="0"/>
    <s v="8 LPA"/>
    <x v="1"/>
    <n v="123"/>
    <x v="0"/>
    <x v="0"/>
    <x v="4"/>
  </r>
  <r>
    <x v="436"/>
    <s v="Frontend Developer"/>
    <s v="TCS"/>
    <x v="0"/>
    <s v="3 LPA"/>
    <x v="1"/>
    <n v="152"/>
    <x v="4"/>
    <x v="1"/>
    <x v="4"/>
  </r>
  <r>
    <x v="437"/>
    <s v="Data Analyst"/>
    <s v="Infosys"/>
    <x v="2"/>
    <s v="8 LPA"/>
    <x v="2"/>
    <n v="234"/>
    <x v="1"/>
    <x v="0"/>
    <x v="6"/>
  </r>
  <r>
    <x v="438"/>
    <s v="HR Manager"/>
    <s v="HCL"/>
    <x v="0"/>
    <s v="7 LPA"/>
    <x v="2"/>
    <n v="72"/>
    <x v="1"/>
    <x v="2"/>
    <x v="4"/>
  </r>
  <r>
    <x v="439"/>
    <s v="HR Manager"/>
    <s v="TCS"/>
    <x v="3"/>
    <s v="12 LPA"/>
    <x v="1"/>
    <n v="189"/>
    <x v="4"/>
    <x v="2"/>
    <x v="5"/>
  </r>
  <r>
    <x v="440"/>
    <s v="Web Developer"/>
    <s v="Capgemini"/>
    <x v="1"/>
    <s v="5 LPA"/>
    <x v="2"/>
    <n v="214"/>
    <x v="2"/>
    <x v="0"/>
    <x v="6"/>
  </r>
  <r>
    <x v="441"/>
    <s v="Backend Developer"/>
    <s v="Infosys"/>
    <x v="2"/>
    <s v="6 LPA"/>
    <x v="0"/>
    <n v="139"/>
    <x v="3"/>
    <x v="1"/>
    <x v="4"/>
  </r>
  <r>
    <x v="442"/>
    <s v="Backend Developer"/>
    <s v="Wipro"/>
    <x v="0"/>
    <s v="8 LPA"/>
    <x v="2"/>
    <n v="100"/>
    <x v="5"/>
    <x v="2"/>
    <x v="0"/>
  </r>
  <r>
    <x v="443"/>
    <s v="HR Manager"/>
    <s v="Accenture"/>
    <x v="4"/>
    <s v="6 LPA"/>
    <x v="1"/>
    <n v="120"/>
    <x v="2"/>
    <x v="2"/>
    <x v="3"/>
  </r>
  <r>
    <x v="444"/>
    <s v="Frontend Developer"/>
    <s v="HCL"/>
    <x v="1"/>
    <s v="11 LPA"/>
    <x v="1"/>
    <n v="114"/>
    <x v="3"/>
    <x v="0"/>
    <x v="0"/>
  </r>
  <r>
    <x v="445"/>
    <s v="Software Engineer"/>
    <s v="Infosys"/>
    <x v="1"/>
    <s v="10 LPA"/>
    <x v="1"/>
    <n v="233"/>
    <x v="4"/>
    <x v="1"/>
    <x v="11"/>
  </r>
  <r>
    <x v="446"/>
    <s v="Backend Developer"/>
    <s v="TCS"/>
    <x v="2"/>
    <s v="12 LPA"/>
    <x v="1"/>
    <n v="278"/>
    <x v="1"/>
    <x v="0"/>
    <x v="9"/>
  </r>
  <r>
    <x v="447"/>
    <s v="HR Manager"/>
    <s v="HCL"/>
    <x v="3"/>
    <s v="5 LPA"/>
    <x v="2"/>
    <n v="41"/>
    <x v="0"/>
    <x v="1"/>
    <x v="0"/>
  </r>
  <r>
    <x v="448"/>
    <s v="Data Analyst"/>
    <s v="Capgemini"/>
    <x v="3"/>
    <s v="8 LPA"/>
    <x v="0"/>
    <n v="265"/>
    <x v="1"/>
    <x v="0"/>
    <x v="8"/>
  </r>
  <r>
    <x v="449"/>
    <s v="Software Engineer"/>
    <s v="HCL"/>
    <x v="1"/>
    <s v="11 LPA"/>
    <x v="0"/>
    <n v="211"/>
    <x v="2"/>
    <x v="1"/>
    <x v="2"/>
  </r>
  <r>
    <x v="450"/>
    <s v="HR Manager"/>
    <s v="Capgemini"/>
    <x v="0"/>
    <s v="3 LPA"/>
    <x v="2"/>
    <n v="74"/>
    <x v="1"/>
    <x v="0"/>
    <x v="3"/>
  </r>
  <r>
    <x v="451"/>
    <s v="Backend Developer"/>
    <s v="Wipro"/>
    <x v="1"/>
    <s v="10 LPA"/>
    <x v="1"/>
    <n v="155"/>
    <x v="4"/>
    <x v="0"/>
    <x v="8"/>
  </r>
  <r>
    <x v="452"/>
    <s v="Data Analyst"/>
    <s v="HCL"/>
    <x v="4"/>
    <s v="4 LPA"/>
    <x v="0"/>
    <n v="262"/>
    <x v="4"/>
    <x v="2"/>
    <x v="0"/>
  </r>
  <r>
    <x v="453"/>
    <s v="Frontend Developer"/>
    <s v="Wipro"/>
    <x v="2"/>
    <s v="3 LPA"/>
    <x v="2"/>
    <n v="295"/>
    <x v="5"/>
    <x v="2"/>
    <x v="2"/>
  </r>
  <r>
    <x v="454"/>
    <s v="Backend Developer"/>
    <s v="Capgemini"/>
    <x v="2"/>
    <s v="7 LPA"/>
    <x v="2"/>
    <n v="113"/>
    <x v="3"/>
    <x v="0"/>
    <x v="9"/>
  </r>
  <r>
    <x v="455"/>
    <s v="Web Developer"/>
    <s v="Infosys"/>
    <x v="0"/>
    <s v="12 LPA"/>
    <x v="0"/>
    <n v="281"/>
    <x v="1"/>
    <x v="1"/>
    <x v="0"/>
  </r>
  <r>
    <x v="456"/>
    <s v="Web Developer"/>
    <s v="HCL"/>
    <x v="2"/>
    <s v="7 LPA"/>
    <x v="0"/>
    <n v="127"/>
    <x v="3"/>
    <x v="1"/>
    <x v="5"/>
  </r>
  <r>
    <x v="457"/>
    <s v="Web Developer"/>
    <s v="HCL"/>
    <x v="4"/>
    <s v="9 LPA"/>
    <x v="1"/>
    <n v="199"/>
    <x v="0"/>
    <x v="2"/>
    <x v="5"/>
  </r>
  <r>
    <x v="458"/>
    <s v="Backend Developer"/>
    <s v="Infosys"/>
    <x v="4"/>
    <s v="6 LPA"/>
    <x v="1"/>
    <n v="128"/>
    <x v="3"/>
    <x v="1"/>
    <x v="10"/>
  </r>
  <r>
    <x v="459"/>
    <s v="Data Analyst"/>
    <s v="TCS"/>
    <x v="4"/>
    <s v="11 LPA"/>
    <x v="1"/>
    <n v="60"/>
    <x v="3"/>
    <x v="2"/>
    <x v="3"/>
  </r>
  <r>
    <x v="460"/>
    <s v="Backend Developer"/>
    <s v="HCL"/>
    <x v="4"/>
    <s v="9 LPA"/>
    <x v="1"/>
    <n v="151"/>
    <x v="1"/>
    <x v="1"/>
    <x v="4"/>
  </r>
  <r>
    <x v="461"/>
    <s v="Backend Developer"/>
    <s v="HCL"/>
    <x v="4"/>
    <s v="11 LPA"/>
    <x v="0"/>
    <n v="106"/>
    <x v="0"/>
    <x v="0"/>
    <x v="0"/>
  </r>
  <r>
    <x v="462"/>
    <s v="Data Analyst"/>
    <s v="TCS"/>
    <x v="4"/>
    <s v="11 LPA"/>
    <x v="1"/>
    <n v="123"/>
    <x v="4"/>
    <x v="1"/>
    <x v="5"/>
  </r>
  <r>
    <x v="463"/>
    <s v="Web Developer"/>
    <s v="Accenture"/>
    <x v="4"/>
    <s v="5 LPA"/>
    <x v="1"/>
    <n v="216"/>
    <x v="5"/>
    <x v="0"/>
    <x v="1"/>
  </r>
  <r>
    <x v="464"/>
    <s v="Web Developer"/>
    <s v="Accenture"/>
    <x v="0"/>
    <s v="3 LPA"/>
    <x v="0"/>
    <n v="298"/>
    <x v="4"/>
    <x v="0"/>
    <x v="4"/>
  </r>
  <r>
    <x v="465"/>
    <s v="Frontend Developer"/>
    <s v="TCS"/>
    <x v="3"/>
    <s v="3 LPA"/>
    <x v="0"/>
    <n v="220"/>
    <x v="0"/>
    <x v="1"/>
    <x v="9"/>
  </r>
  <r>
    <x v="466"/>
    <s v="Frontend Developer"/>
    <s v="Capgemini"/>
    <x v="3"/>
    <s v="12 LPA"/>
    <x v="2"/>
    <n v="42"/>
    <x v="2"/>
    <x v="2"/>
    <x v="9"/>
  </r>
  <r>
    <x v="467"/>
    <s v="Frontend Developer"/>
    <s v="Wipro"/>
    <x v="1"/>
    <s v="12 LPA"/>
    <x v="1"/>
    <n v="29"/>
    <x v="2"/>
    <x v="2"/>
    <x v="0"/>
  </r>
  <r>
    <x v="468"/>
    <s v="Backend Developer"/>
    <s v="TCS"/>
    <x v="3"/>
    <s v="7 LPA"/>
    <x v="0"/>
    <n v="68"/>
    <x v="2"/>
    <x v="1"/>
    <x v="8"/>
  </r>
  <r>
    <x v="469"/>
    <s v="Software Engineer"/>
    <s v="Capgemini"/>
    <x v="4"/>
    <s v="9 LPA"/>
    <x v="1"/>
    <n v="160"/>
    <x v="5"/>
    <x v="0"/>
    <x v="11"/>
  </r>
  <r>
    <x v="470"/>
    <s v="Backend Developer"/>
    <s v="Infosys"/>
    <x v="0"/>
    <s v="5 LPA"/>
    <x v="0"/>
    <n v="160"/>
    <x v="2"/>
    <x v="2"/>
    <x v="5"/>
  </r>
  <r>
    <x v="471"/>
    <s v="Web Developer"/>
    <s v="TCS"/>
    <x v="3"/>
    <s v="10 LPA"/>
    <x v="1"/>
    <n v="243"/>
    <x v="1"/>
    <x v="0"/>
    <x v="8"/>
  </r>
  <r>
    <x v="472"/>
    <s v="Frontend Developer"/>
    <s v="Infosys"/>
    <x v="1"/>
    <s v="8 LPA"/>
    <x v="0"/>
    <n v="287"/>
    <x v="3"/>
    <x v="1"/>
    <x v="2"/>
  </r>
  <r>
    <x v="473"/>
    <s v="Software Engineer"/>
    <s v="Accenture"/>
    <x v="4"/>
    <s v="10 LPA"/>
    <x v="1"/>
    <n v="297"/>
    <x v="0"/>
    <x v="2"/>
    <x v="5"/>
  </r>
  <r>
    <x v="474"/>
    <s v="HR Manager"/>
    <s v="Wipro"/>
    <x v="4"/>
    <s v="10 LPA"/>
    <x v="2"/>
    <n v="93"/>
    <x v="1"/>
    <x v="2"/>
    <x v="9"/>
  </r>
  <r>
    <x v="475"/>
    <s v="Data Analyst"/>
    <s v="Accenture"/>
    <x v="4"/>
    <s v="7 LPA"/>
    <x v="1"/>
    <n v="126"/>
    <x v="5"/>
    <x v="1"/>
    <x v="2"/>
  </r>
  <r>
    <x v="476"/>
    <s v="Data Analyst"/>
    <s v="TCS"/>
    <x v="1"/>
    <s v="7 LPA"/>
    <x v="2"/>
    <n v="140"/>
    <x v="5"/>
    <x v="0"/>
    <x v="6"/>
  </r>
  <r>
    <x v="477"/>
    <s v="Frontend Developer"/>
    <s v="Infosys"/>
    <x v="2"/>
    <s v="7 LPA"/>
    <x v="1"/>
    <n v="84"/>
    <x v="4"/>
    <x v="1"/>
    <x v="1"/>
  </r>
  <r>
    <x v="478"/>
    <s v="Data Analyst"/>
    <s v="HCL"/>
    <x v="2"/>
    <s v="5 LPA"/>
    <x v="0"/>
    <n v="111"/>
    <x v="5"/>
    <x v="0"/>
    <x v="8"/>
  </r>
  <r>
    <x v="479"/>
    <s v="Backend Developer"/>
    <s v="TCS"/>
    <x v="4"/>
    <s v="5 LPA"/>
    <x v="2"/>
    <n v="224"/>
    <x v="0"/>
    <x v="1"/>
    <x v="3"/>
  </r>
  <r>
    <x v="480"/>
    <s v="Backend Developer"/>
    <s v="TCS"/>
    <x v="1"/>
    <s v="12 LPA"/>
    <x v="0"/>
    <n v="128"/>
    <x v="4"/>
    <x v="1"/>
    <x v="11"/>
  </r>
  <r>
    <x v="481"/>
    <s v="HR Manager"/>
    <s v="TCS"/>
    <x v="1"/>
    <s v="10 LPA"/>
    <x v="0"/>
    <n v="177"/>
    <x v="3"/>
    <x v="1"/>
    <x v="3"/>
  </r>
  <r>
    <x v="482"/>
    <s v="HR Manager"/>
    <s v="HCL"/>
    <x v="2"/>
    <s v="10 LPA"/>
    <x v="1"/>
    <n v="136"/>
    <x v="4"/>
    <x v="0"/>
    <x v="4"/>
  </r>
  <r>
    <x v="483"/>
    <s v="Data Analyst"/>
    <s v="Capgemini"/>
    <x v="0"/>
    <s v="10 LPA"/>
    <x v="0"/>
    <n v="262"/>
    <x v="2"/>
    <x v="0"/>
    <x v="8"/>
  </r>
  <r>
    <x v="484"/>
    <s v="Web Developer"/>
    <s v="Wipro"/>
    <x v="3"/>
    <s v="3 LPA"/>
    <x v="0"/>
    <n v="196"/>
    <x v="1"/>
    <x v="1"/>
    <x v="3"/>
  </r>
  <r>
    <x v="485"/>
    <s v="Data Analyst"/>
    <s v="TCS"/>
    <x v="0"/>
    <s v="12 LPA"/>
    <x v="2"/>
    <n v="80"/>
    <x v="0"/>
    <x v="1"/>
    <x v="4"/>
  </r>
  <r>
    <x v="486"/>
    <s v="Data Analyst"/>
    <s v="Wipro"/>
    <x v="3"/>
    <s v="6 LPA"/>
    <x v="2"/>
    <n v="42"/>
    <x v="3"/>
    <x v="0"/>
    <x v="10"/>
  </r>
  <r>
    <x v="487"/>
    <s v="Frontend Developer"/>
    <s v="Capgemini"/>
    <x v="3"/>
    <s v="3 LPA"/>
    <x v="1"/>
    <n v="197"/>
    <x v="0"/>
    <x v="0"/>
    <x v="6"/>
  </r>
  <r>
    <x v="488"/>
    <s v="Data Analyst"/>
    <s v="Capgemini"/>
    <x v="3"/>
    <s v="6 LPA"/>
    <x v="0"/>
    <n v="35"/>
    <x v="2"/>
    <x v="1"/>
    <x v="0"/>
  </r>
  <r>
    <x v="489"/>
    <s v="Data Analyst"/>
    <s v="TCS"/>
    <x v="1"/>
    <s v="7 LPA"/>
    <x v="2"/>
    <n v="274"/>
    <x v="3"/>
    <x v="0"/>
    <x v="9"/>
  </r>
  <r>
    <x v="490"/>
    <s v="HR Manager"/>
    <s v="Infosys"/>
    <x v="3"/>
    <s v="8 LPA"/>
    <x v="2"/>
    <n v="69"/>
    <x v="5"/>
    <x v="0"/>
    <x v="6"/>
  </r>
  <r>
    <x v="491"/>
    <s v="Web Developer"/>
    <s v="Infosys"/>
    <x v="0"/>
    <s v="6 LPA"/>
    <x v="2"/>
    <n v="128"/>
    <x v="3"/>
    <x v="2"/>
    <x v="0"/>
  </r>
  <r>
    <x v="492"/>
    <s v="Frontend Developer"/>
    <s v="Accenture"/>
    <x v="0"/>
    <s v="11 LPA"/>
    <x v="1"/>
    <n v="21"/>
    <x v="3"/>
    <x v="2"/>
    <x v="3"/>
  </r>
  <r>
    <x v="493"/>
    <s v="Software Engineer"/>
    <s v="Accenture"/>
    <x v="1"/>
    <s v="5 LPA"/>
    <x v="0"/>
    <n v="89"/>
    <x v="4"/>
    <x v="0"/>
    <x v="9"/>
  </r>
  <r>
    <x v="494"/>
    <s v="Frontend Developer"/>
    <s v="Wipro"/>
    <x v="3"/>
    <s v="9 LPA"/>
    <x v="1"/>
    <n v="75"/>
    <x v="3"/>
    <x v="2"/>
    <x v="1"/>
  </r>
  <r>
    <x v="495"/>
    <s v="Data Analyst"/>
    <s v="Wipro"/>
    <x v="2"/>
    <s v="3 LPA"/>
    <x v="1"/>
    <n v="157"/>
    <x v="2"/>
    <x v="0"/>
    <x v="8"/>
  </r>
  <r>
    <x v="496"/>
    <s v="Web Developer"/>
    <s v="HCL"/>
    <x v="3"/>
    <s v="11 LPA"/>
    <x v="0"/>
    <n v="89"/>
    <x v="2"/>
    <x v="0"/>
    <x v="1"/>
  </r>
  <r>
    <x v="497"/>
    <s v="Data Analyst"/>
    <s v="Wipro"/>
    <x v="2"/>
    <s v="5 LPA"/>
    <x v="2"/>
    <n v="84"/>
    <x v="0"/>
    <x v="2"/>
    <x v="10"/>
  </r>
  <r>
    <x v="498"/>
    <s v="Frontend Developer"/>
    <s v="Infosys"/>
    <x v="4"/>
    <s v="6 LPA"/>
    <x v="1"/>
    <n v="142"/>
    <x v="0"/>
    <x v="1"/>
    <x v="7"/>
  </r>
  <r>
    <x v="499"/>
    <s v="Backend Developer"/>
    <s v="Wipro"/>
    <x v="3"/>
    <s v="5 LPA"/>
    <x v="0"/>
    <n v="28"/>
    <x v="4"/>
    <x v="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C0B40B-7C97-42AD-8D89-A4A30713CF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D16" firstHeaderRow="1" firstDataRow="1" firstDataCol="0"/>
  <pivotFields count="1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items count="6">
        <item h="1" x="1"/>
        <item x="3"/>
        <item h="1" x="4"/>
        <item h="1" x="0"/>
        <item h="1" x="2"/>
        <item t="default"/>
      </items>
    </pivotField>
    <pivotField showAll="0"/>
    <pivotField showAll="0">
      <items count="4">
        <item x="1"/>
        <item h="1" x="2"/>
        <item h="1" x="0"/>
        <item t="default"/>
      </items>
    </pivotField>
    <pivotField dataField="1" showAll="0"/>
    <pivotField showAll="0"/>
    <pivotField showAll="0">
      <items count="4">
        <item x="1"/>
        <item x="0"/>
        <item x="2"/>
        <item t="default"/>
      </items>
    </pivotField>
    <pivotField showAll="0"/>
  </pivotFields>
  <rowItems count="1">
    <i/>
  </rowItems>
  <colItems count="1">
    <i/>
  </colItems>
  <dataFields count="1">
    <dataField name="Sum of Applican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804C14-1DC7-43A7-AA0F-BE13574F06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6:J20" firstHeaderRow="1" firstDataRow="1" firstDataCol="1"/>
  <pivotFields count="10">
    <pivotField dataField="1" showAll="0"/>
    <pivotField showAll="0"/>
    <pivotField showAll="0"/>
    <pivotField showAll="0">
      <items count="6">
        <item h="1" x="1"/>
        <item x="3"/>
        <item h="1" x="4"/>
        <item h="1" x="0"/>
        <item h="1" x="2"/>
        <item t="default"/>
      </items>
    </pivotField>
    <pivotField showAll="0"/>
    <pivotField showAll="0">
      <items count="4">
        <item x="1"/>
        <item h="1" x="2"/>
        <item h="1" x="0"/>
        <item t="default"/>
      </items>
    </pivotField>
    <pivotField showAll="0"/>
    <pivotField showAll="0"/>
    <pivotField axis="axisRow" showAll="0">
      <items count="4">
        <item x="1"/>
        <item x="0"/>
        <item x="2"/>
        <item t="default"/>
      </items>
    </pivotField>
    <pivotField showAll="0"/>
  </pivotFields>
  <rowFields count="1">
    <field x="8"/>
  </rowFields>
  <rowItems count="4">
    <i>
      <x/>
    </i>
    <i>
      <x v="1"/>
    </i>
    <i>
      <x v="2"/>
    </i>
    <i t="grand">
      <x/>
    </i>
  </rowItems>
  <colItems count="1">
    <i/>
  </colItems>
  <dataFields count="1">
    <dataField name="Count of Job_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0EA22B-2C9A-4037-A7E9-2A684F4625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G17" firstHeaderRow="1" firstDataRow="1" firstDataCol="0"/>
  <pivotFields count="10">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items count="6">
        <item h="1" x="1"/>
        <item x="3"/>
        <item h="1" x="4"/>
        <item h="1" x="0"/>
        <item h="1" x="2"/>
        <item t="default"/>
      </items>
    </pivotField>
    <pivotField showAll="0"/>
    <pivotField showAll="0">
      <items count="4">
        <item x="1"/>
        <item h="1" x="2"/>
        <item h="1" x="0"/>
        <item t="default"/>
      </items>
    </pivotField>
    <pivotField showAll="0"/>
    <pivotField showAll="0"/>
    <pivotField showAll="0">
      <items count="4">
        <item x="1"/>
        <item x="0"/>
        <item x="2"/>
        <item t="default"/>
      </items>
    </pivotField>
    <pivotField showAll="0"/>
  </pivotFields>
  <rowItems count="1">
    <i/>
  </rowItems>
  <colItems count="1">
    <i/>
  </colItems>
  <dataFields count="1">
    <dataField name="Count of Job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B46F43-2691-4EA7-B232-24C9D3F871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5:O18" firstHeaderRow="1" firstDataRow="1" firstDataCol="1"/>
  <pivotFields count="10">
    <pivotField dataField="1" showAll="0"/>
    <pivotField showAll="0"/>
    <pivotField showAll="0"/>
    <pivotField showAll="0">
      <items count="6">
        <item h="1" x="1"/>
        <item x="3"/>
        <item h="1" x="4"/>
        <item h="1" x="0"/>
        <item h="1" x="2"/>
        <item t="default"/>
      </items>
    </pivotField>
    <pivotField showAll="0"/>
    <pivotField showAll="0">
      <items count="4">
        <item x="1"/>
        <item h="1" x="2"/>
        <item h="1" x="0"/>
        <item t="default"/>
      </items>
    </pivotField>
    <pivotField showAll="0"/>
    <pivotField showAll="0"/>
    <pivotField showAll="0">
      <items count="4">
        <item x="1"/>
        <item x="0"/>
        <item x="2"/>
        <item t="default"/>
      </items>
    </pivotField>
    <pivotField axis="axisRow" showAll="0">
      <items count="13">
        <item x="3"/>
        <item x="10"/>
        <item x="2"/>
        <item x="7"/>
        <item x="9"/>
        <item x="11"/>
        <item x="0"/>
        <item x="4"/>
        <item x="5"/>
        <item x="8"/>
        <item x="6"/>
        <item x="1"/>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Count of Job_ID" fld="0" subtotal="count" baseField="9" baseItem="1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D61D05-7569-4790-8D2A-6D49761FB5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2:C29" firstHeaderRow="1" firstDataRow="1" firstDataCol="1"/>
  <pivotFields count="10">
    <pivotField showAll="0"/>
    <pivotField showAll="0"/>
    <pivotField showAll="0"/>
    <pivotField showAll="0">
      <items count="6">
        <item h="1" x="1"/>
        <item x="3"/>
        <item h="1" x="4"/>
        <item h="1" x="0"/>
        <item h="1" x="2"/>
        <item t="default"/>
      </items>
    </pivotField>
    <pivotField showAll="0"/>
    <pivotField showAll="0">
      <items count="4">
        <item x="1"/>
        <item h="1" x="2"/>
        <item h="1" x="0"/>
        <item t="default"/>
      </items>
    </pivotField>
    <pivotField dataField="1" showAll="0"/>
    <pivotField axis="axisRow" showAll="0">
      <items count="7">
        <item x="2"/>
        <item x="3"/>
        <item x="5"/>
        <item x="4"/>
        <item x="0"/>
        <item x="1"/>
        <item t="default"/>
      </items>
    </pivotField>
    <pivotField showAll="0">
      <items count="4">
        <item x="1"/>
        <item x="0"/>
        <item x="2"/>
        <item t="default"/>
      </items>
    </pivotField>
    <pivotField showAll="0"/>
  </pivotFields>
  <rowFields count="1">
    <field x="7"/>
  </rowFields>
  <rowItems count="7">
    <i>
      <x/>
    </i>
    <i>
      <x v="1"/>
    </i>
    <i>
      <x v="2"/>
    </i>
    <i>
      <x v="3"/>
    </i>
    <i>
      <x v="4"/>
    </i>
    <i>
      <x v="5"/>
    </i>
    <i t="grand">
      <x/>
    </i>
  </rowItems>
  <colItems count="1">
    <i/>
  </colItems>
  <dataFields count="1">
    <dataField name="Sum of Applicants" fld="6" baseField="0" baseItem="0"/>
  </dataFields>
  <chartFormats count="1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2" format="12">
      <pivotArea type="data" outline="0" fieldPosition="0">
        <references count="2">
          <reference field="4294967294" count="1" selected="0">
            <x v="0"/>
          </reference>
          <reference field="7" count="1" selected="0">
            <x v="3"/>
          </reference>
        </references>
      </pivotArea>
    </chartFormat>
    <chartFormat chart="2" format="13">
      <pivotArea type="data" outline="0" fieldPosition="0">
        <references count="2">
          <reference field="4294967294" count="1" selected="0">
            <x v="0"/>
          </reference>
          <reference field="7" count="1" selected="0">
            <x v="4"/>
          </reference>
        </references>
      </pivotArea>
    </chartFormat>
    <chartFormat chart="2" format="14">
      <pivotArea type="data" outline="0" fieldPosition="0">
        <references count="2">
          <reference field="4294967294" count="1" selected="0">
            <x v="0"/>
          </reference>
          <reference field="7" count="1" selected="0">
            <x v="5"/>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887230-DFAF-4191-8D15-7689A321EE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6:C8" firstHeaderRow="1" firstDataRow="1" firstDataCol="1"/>
  <pivotFields count="10">
    <pivotField dataField="1" showAll="0"/>
    <pivotField showAll="0"/>
    <pivotField showAll="0"/>
    <pivotField axis="axisRow" showAll="0">
      <items count="6">
        <item h="1" x="1"/>
        <item x="3"/>
        <item h="1" x="4"/>
        <item h="1" x="0"/>
        <item h="1" x="2"/>
        <item t="default"/>
      </items>
    </pivotField>
    <pivotField showAll="0"/>
    <pivotField showAll="0">
      <items count="4">
        <item x="1"/>
        <item h="1" x="2"/>
        <item h="1" x="0"/>
        <item t="default"/>
      </items>
    </pivotField>
    <pivotField showAll="0"/>
    <pivotField showAll="0"/>
    <pivotField showAll="0">
      <items count="4">
        <item x="1"/>
        <item x="0"/>
        <item x="2"/>
        <item t="default"/>
      </items>
    </pivotField>
    <pivotField showAll="0"/>
  </pivotFields>
  <rowFields count="1">
    <field x="3"/>
  </rowFields>
  <rowItems count="2">
    <i>
      <x v="1"/>
    </i>
    <i t="grand">
      <x/>
    </i>
  </rowItems>
  <colItems count="1">
    <i/>
  </colItems>
  <dataFields count="1">
    <dataField name="Sum of Job_ID" fld="0"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3"/>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1"/>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3C3F900-1FB5-4D49-BFEB-93C4C218135B}" sourceName="Location">
  <pivotTables>
    <pivotTable tabId="4" name="PivotTable1"/>
    <pivotTable tabId="4" name="PivotTable2"/>
    <pivotTable tabId="4" name="PivotTable3"/>
    <pivotTable tabId="3" name="PivotTable1"/>
    <pivotTable tabId="3" name="PivotTable2"/>
    <pivotTable tabId="3" name="PivotTable3"/>
  </pivotTables>
  <data>
    <tabular pivotCacheId="1179471687">
      <items count="5">
        <i x="1"/>
        <i x="3" s="1"/>
        <i x="4"/>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FC44720-090D-486D-A6D9-679165BAE05E}" sourceName="Status">
  <pivotTables>
    <pivotTable tabId="4" name="PivotTable1"/>
    <pivotTable tabId="4" name="PivotTable2"/>
    <pivotTable tabId="4" name="PivotTable3"/>
    <pivotTable tabId="3" name="PivotTable1"/>
    <pivotTable tabId="3" name="PivotTable2"/>
    <pivotTable tabId="3" name="PivotTable3"/>
  </pivotTables>
  <data>
    <tabular pivotCacheId="117947168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 xr10:uid="{DF2BEFFA-D0EB-4EB6-AE14-AA716F955869}" sourceName="Experience">
  <pivotTables>
    <pivotTable tabId="4" name="PivotTable1"/>
    <pivotTable tabId="4" name="PivotTable2"/>
    <pivotTable tabId="4" name="PivotTable3"/>
    <pivotTable tabId="3" name="PivotTable1"/>
    <pivotTable tabId="3" name="PivotTable2"/>
    <pivotTable tabId="3" name="PivotTable3"/>
  </pivotTables>
  <data>
    <tabular pivotCacheId="1179471687">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2" xr10:uid="{B2426CF1-A15A-4778-BF2F-EB513765FFFB}" cache="Slicer_Location" caption="Location" style="Slicer Style 2" rowHeight="241300"/>
  <slicer name="Status" xr10:uid="{C85F8F4A-2084-4858-85DC-9F01303AA481}" cache="Slicer_Status" caption="Status" style="Slicer Style 2" rowHeight="241300"/>
  <slicer name="Experience" xr10:uid="{25146589-5C52-4B38-8811-AE968AB54813}" cache="Slicer_Experience" caption="Experience"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8AAFA8AF-68CD-457D-A397-DB68B7374FCF}" cache="Slicer_Location" caption="Lo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899797-EE3D-4BC5-9B7A-CD52B1355BCE}" name="JobsData" displayName="JobsData" ref="A1:J501" totalsRowShown="0">
  <autoFilter ref="A1:J501" xr:uid="{B2899797-EE3D-4BC5-9B7A-CD52B1355BCE}"/>
  <tableColumns count="10">
    <tableColumn id="1" xr3:uid="{6DF91E8E-CD51-451A-8B50-1E9D106DA816}" name="Job_ID"/>
    <tableColumn id="2" xr3:uid="{870919A8-C1E1-40F7-9147-220A3D8F9BCC}" name="Job_Title"/>
    <tableColumn id="3" xr3:uid="{A52F91F5-03EF-4B8F-ACD0-A9B2E582B465}" name="Company"/>
    <tableColumn id="4" xr3:uid="{6AC621E1-056F-4A88-B91E-8493493602EB}" name="Location"/>
    <tableColumn id="5" xr3:uid="{2EF40CFA-FC7D-40F3-89B6-632445E1B9B7}" name="Salary"/>
    <tableColumn id="6" xr3:uid="{10F209E9-5476-4490-94ED-1532AC1EC38D}" name="Experience"/>
    <tableColumn id="7" xr3:uid="{EC05438A-BDCC-4380-9D24-6FA9514EADCA}" name="Applicants"/>
    <tableColumn id="8" xr3:uid="{5310EE1F-E984-48BC-BC33-92B9E252678F}" name="Skills"/>
    <tableColumn id="9" xr3:uid="{E9390242-1CB6-4C1A-B18B-FB6C51AD12C6}" name="Status"/>
    <tableColumn id="10" xr3:uid="{6C2F1775-CEF0-47DD-A1E7-4458BCBB518F}" name="Da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sheetViews>
  <sheetFormatPr defaultRowHeight="14.5" x14ac:dyDescent="0.35"/>
  <cols>
    <col min="2" max="2" width="17.6328125" bestFit="1" customWidth="1"/>
    <col min="3" max="3" width="11" bestFit="1" customWidth="1"/>
    <col min="4" max="4" width="10.1796875" bestFit="1" customWidth="1"/>
    <col min="5" max="5" width="8.08984375" bestFit="1" customWidth="1"/>
    <col min="6" max="6" width="12.1796875" bestFit="1" customWidth="1"/>
    <col min="7" max="7" width="11.81640625" bestFit="1" customWidth="1"/>
    <col min="8" max="8" width="7.1796875" bestFit="1" customWidth="1"/>
    <col min="9" max="9" width="8.36328125" bestFit="1" customWidth="1"/>
    <col min="10" max="10" width="7.08984375" bestFit="1" customWidth="1"/>
  </cols>
  <sheetData>
    <row r="1" spans="1:10" x14ac:dyDescent="0.35">
      <c r="A1" t="s">
        <v>0</v>
      </c>
      <c r="B1" t="s">
        <v>1</v>
      </c>
      <c r="C1" t="s">
        <v>2</v>
      </c>
      <c r="D1" t="s">
        <v>3</v>
      </c>
      <c r="E1" t="s">
        <v>4</v>
      </c>
      <c r="F1" t="s">
        <v>5</v>
      </c>
      <c r="G1" t="s">
        <v>6</v>
      </c>
      <c r="H1" t="s">
        <v>7</v>
      </c>
      <c r="I1" t="s">
        <v>8</v>
      </c>
      <c r="J1" t="s">
        <v>9</v>
      </c>
    </row>
    <row r="2" spans="1:10" x14ac:dyDescent="0.35">
      <c r="A2">
        <v>1</v>
      </c>
      <c r="B2" t="s">
        <v>10</v>
      </c>
      <c r="C2" t="s">
        <v>11</v>
      </c>
      <c r="D2" t="s">
        <v>12</v>
      </c>
      <c r="E2" t="s">
        <v>13</v>
      </c>
      <c r="F2" t="s">
        <v>14</v>
      </c>
      <c r="G2">
        <v>67</v>
      </c>
      <c r="H2" t="s">
        <v>15</v>
      </c>
      <c r="I2" t="s">
        <v>16</v>
      </c>
      <c r="J2" t="s">
        <v>17</v>
      </c>
    </row>
    <row r="3" spans="1:10" x14ac:dyDescent="0.35">
      <c r="A3">
        <v>2</v>
      </c>
      <c r="B3" t="s">
        <v>18</v>
      </c>
      <c r="C3" t="s">
        <v>19</v>
      </c>
      <c r="D3" t="s">
        <v>20</v>
      </c>
      <c r="E3" t="s">
        <v>21</v>
      </c>
      <c r="F3" t="s">
        <v>22</v>
      </c>
      <c r="G3">
        <v>46</v>
      </c>
      <c r="H3" t="s">
        <v>23</v>
      </c>
      <c r="I3" t="s">
        <v>24</v>
      </c>
      <c r="J3" t="s">
        <v>25</v>
      </c>
    </row>
    <row r="4" spans="1:10" x14ac:dyDescent="0.35">
      <c r="A4">
        <v>3</v>
      </c>
      <c r="B4" t="s">
        <v>18</v>
      </c>
      <c r="C4" t="s">
        <v>26</v>
      </c>
      <c r="D4" t="s">
        <v>27</v>
      </c>
      <c r="E4" t="s">
        <v>28</v>
      </c>
      <c r="F4" t="s">
        <v>22</v>
      </c>
      <c r="G4">
        <v>121</v>
      </c>
      <c r="H4" t="s">
        <v>29</v>
      </c>
      <c r="I4" t="s">
        <v>16</v>
      </c>
      <c r="J4" t="s">
        <v>25</v>
      </c>
    </row>
    <row r="5" spans="1:10" x14ac:dyDescent="0.35">
      <c r="A5">
        <v>4</v>
      </c>
      <c r="B5" t="s">
        <v>10</v>
      </c>
      <c r="C5" t="s">
        <v>30</v>
      </c>
      <c r="D5" t="s">
        <v>20</v>
      </c>
      <c r="E5" t="s">
        <v>31</v>
      </c>
      <c r="F5" t="s">
        <v>32</v>
      </c>
      <c r="G5">
        <v>74</v>
      </c>
      <c r="H5" t="s">
        <v>33</v>
      </c>
      <c r="I5" t="s">
        <v>24</v>
      </c>
      <c r="J5" t="s">
        <v>34</v>
      </c>
    </row>
    <row r="6" spans="1:10" x14ac:dyDescent="0.35">
      <c r="A6">
        <v>5</v>
      </c>
      <c r="B6" t="s">
        <v>35</v>
      </c>
      <c r="C6" t="s">
        <v>30</v>
      </c>
      <c r="D6" t="s">
        <v>36</v>
      </c>
      <c r="E6" t="s">
        <v>37</v>
      </c>
      <c r="F6" t="s">
        <v>32</v>
      </c>
      <c r="G6">
        <v>178</v>
      </c>
      <c r="H6" t="s">
        <v>38</v>
      </c>
      <c r="I6" t="s">
        <v>24</v>
      </c>
      <c r="J6" t="s">
        <v>39</v>
      </c>
    </row>
    <row r="7" spans="1:10" x14ac:dyDescent="0.35">
      <c r="A7">
        <v>6</v>
      </c>
      <c r="B7" t="s">
        <v>35</v>
      </c>
      <c r="C7" t="s">
        <v>26</v>
      </c>
      <c r="D7" t="s">
        <v>27</v>
      </c>
      <c r="E7" t="s">
        <v>40</v>
      </c>
      <c r="F7" t="s">
        <v>22</v>
      </c>
      <c r="G7">
        <v>179</v>
      </c>
      <c r="H7" t="s">
        <v>29</v>
      </c>
      <c r="I7" t="s">
        <v>41</v>
      </c>
      <c r="J7" t="s">
        <v>42</v>
      </c>
    </row>
    <row r="8" spans="1:10" x14ac:dyDescent="0.35">
      <c r="A8">
        <v>7</v>
      </c>
      <c r="B8" t="s">
        <v>18</v>
      </c>
      <c r="C8" t="s">
        <v>30</v>
      </c>
      <c r="D8" t="s">
        <v>20</v>
      </c>
      <c r="E8" t="s">
        <v>31</v>
      </c>
      <c r="F8" t="s">
        <v>22</v>
      </c>
      <c r="G8">
        <v>297</v>
      </c>
      <c r="H8" t="s">
        <v>33</v>
      </c>
      <c r="I8" t="s">
        <v>41</v>
      </c>
      <c r="J8" t="s">
        <v>42</v>
      </c>
    </row>
    <row r="9" spans="1:10" x14ac:dyDescent="0.35">
      <c r="A9">
        <v>8</v>
      </c>
      <c r="B9" t="s">
        <v>35</v>
      </c>
      <c r="C9" t="s">
        <v>26</v>
      </c>
      <c r="D9" t="s">
        <v>27</v>
      </c>
      <c r="E9" t="s">
        <v>21</v>
      </c>
      <c r="F9" t="s">
        <v>32</v>
      </c>
      <c r="G9">
        <v>45</v>
      </c>
      <c r="H9" t="s">
        <v>23</v>
      </c>
      <c r="I9" t="s">
        <v>41</v>
      </c>
      <c r="J9" t="s">
        <v>43</v>
      </c>
    </row>
    <row r="10" spans="1:10" x14ac:dyDescent="0.35">
      <c r="A10">
        <v>9</v>
      </c>
      <c r="B10" t="s">
        <v>44</v>
      </c>
      <c r="C10" t="s">
        <v>45</v>
      </c>
      <c r="D10" t="s">
        <v>36</v>
      </c>
      <c r="E10" t="s">
        <v>31</v>
      </c>
      <c r="F10" t="s">
        <v>22</v>
      </c>
      <c r="G10">
        <v>211</v>
      </c>
      <c r="H10" t="s">
        <v>15</v>
      </c>
      <c r="I10" t="s">
        <v>41</v>
      </c>
      <c r="J10" t="s">
        <v>25</v>
      </c>
    </row>
    <row r="11" spans="1:10" x14ac:dyDescent="0.35">
      <c r="A11">
        <v>10</v>
      </c>
      <c r="B11" t="s">
        <v>46</v>
      </c>
      <c r="C11" t="s">
        <v>47</v>
      </c>
      <c r="D11" t="s">
        <v>20</v>
      </c>
      <c r="E11" t="s">
        <v>48</v>
      </c>
      <c r="F11" t="s">
        <v>22</v>
      </c>
      <c r="G11">
        <v>41</v>
      </c>
      <c r="H11" t="s">
        <v>29</v>
      </c>
      <c r="I11" t="s">
        <v>24</v>
      </c>
      <c r="J11" t="s">
        <v>49</v>
      </c>
    </row>
    <row r="12" spans="1:10" x14ac:dyDescent="0.35">
      <c r="A12">
        <v>11</v>
      </c>
      <c r="B12" t="s">
        <v>46</v>
      </c>
      <c r="C12" t="s">
        <v>26</v>
      </c>
      <c r="D12" t="s">
        <v>36</v>
      </c>
      <c r="E12" t="s">
        <v>28</v>
      </c>
      <c r="F12" t="s">
        <v>22</v>
      </c>
      <c r="G12">
        <v>248</v>
      </c>
      <c r="H12" t="s">
        <v>38</v>
      </c>
      <c r="I12" t="s">
        <v>16</v>
      </c>
      <c r="J12" t="s">
        <v>49</v>
      </c>
    </row>
    <row r="13" spans="1:10" x14ac:dyDescent="0.35">
      <c r="A13">
        <v>12</v>
      </c>
      <c r="B13" t="s">
        <v>44</v>
      </c>
      <c r="C13" t="s">
        <v>26</v>
      </c>
      <c r="D13" t="s">
        <v>12</v>
      </c>
      <c r="E13" t="s">
        <v>13</v>
      </c>
      <c r="F13" t="s">
        <v>32</v>
      </c>
      <c r="G13">
        <v>241</v>
      </c>
      <c r="H13" t="s">
        <v>38</v>
      </c>
      <c r="I13" t="s">
        <v>16</v>
      </c>
      <c r="J13" t="s">
        <v>50</v>
      </c>
    </row>
    <row r="14" spans="1:10" x14ac:dyDescent="0.35">
      <c r="A14">
        <v>13</v>
      </c>
      <c r="B14" t="s">
        <v>10</v>
      </c>
      <c r="C14" t="s">
        <v>26</v>
      </c>
      <c r="D14" t="s">
        <v>51</v>
      </c>
      <c r="E14" t="s">
        <v>31</v>
      </c>
      <c r="F14" t="s">
        <v>32</v>
      </c>
      <c r="G14">
        <v>269</v>
      </c>
      <c r="H14" t="s">
        <v>38</v>
      </c>
      <c r="I14" t="s">
        <v>16</v>
      </c>
      <c r="J14" t="s">
        <v>52</v>
      </c>
    </row>
    <row r="15" spans="1:10" x14ac:dyDescent="0.35">
      <c r="A15">
        <v>14</v>
      </c>
      <c r="B15" t="s">
        <v>35</v>
      </c>
      <c r="C15" t="s">
        <v>11</v>
      </c>
      <c r="D15" t="s">
        <v>51</v>
      </c>
      <c r="E15" t="s">
        <v>31</v>
      </c>
      <c r="F15" t="s">
        <v>32</v>
      </c>
      <c r="G15">
        <v>209</v>
      </c>
      <c r="H15" t="s">
        <v>53</v>
      </c>
      <c r="I15" t="s">
        <v>16</v>
      </c>
      <c r="J15" t="s">
        <v>54</v>
      </c>
    </row>
    <row r="16" spans="1:10" x14ac:dyDescent="0.35">
      <c r="A16">
        <v>15</v>
      </c>
      <c r="B16" t="s">
        <v>18</v>
      </c>
      <c r="C16" t="s">
        <v>11</v>
      </c>
      <c r="D16" t="s">
        <v>12</v>
      </c>
      <c r="E16" t="s">
        <v>55</v>
      </c>
      <c r="F16" t="s">
        <v>32</v>
      </c>
      <c r="G16">
        <v>115</v>
      </c>
      <c r="H16" t="s">
        <v>23</v>
      </c>
      <c r="I16" t="s">
        <v>24</v>
      </c>
      <c r="J16" t="s">
        <v>56</v>
      </c>
    </row>
    <row r="17" spans="1:10" x14ac:dyDescent="0.35">
      <c r="A17">
        <v>16</v>
      </c>
      <c r="B17" t="s">
        <v>46</v>
      </c>
      <c r="C17" t="s">
        <v>26</v>
      </c>
      <c r="D17" t="s">
        <v>36</v>
      </c>
      <c r="E17" t="s">
        <v>55</v>
      </c>
      <c r="F17" t="s">
        <v>22</v>
      </c>
      <c r="G17">
        <v>44</v>
      </c>
      <c r="H17" t="s">
        <v>53</v>
      </c>
      <c r="I17" t="s">
        <v>41</v>
      </c>
      <c r="J17" t="s">
        <v>42</v>
      </c>
    </row>
    <row r="18" spans="1:10" x14ac:dyDescent="0.35">
      <c r="A18">
        <v>17</v>
      </c>
      <c r="B18" t="s">
        <v>46</v>
      </c>
      <c r="C18" t="s">
        <v>30</v>
      </c>
      <c r="D18" t="s">
        <v>51</v>
      </c>
      <c r="E18" t="s">
        <v>31</v>
      </c>
      <c r="F18" t="s">
        <v>32</v>
      </c>
      <c r="G18">
        <v>149</v>
      </c>
      <c r="H18" t="s">
        <v>29</v>
      </c>
      <c r="I18" t="s">
        <v>16</v>
      </c>
      <c r="J18" t="s">
        <v>17</v>
      </c>
    </row>
    <row r="19" spans="1:10" x14ac:dyDescent="0.35">
      <c r="A19">
        <v>18</v>
      </c>
      <c r="B19" t="s">
        <v>46</v>
      </c>
      <c r="C19" t="s">
        <v>11</v>
      </c>
      <c r="D19" t="s">
        <v>27</v>
      </c>
      <c r="E19" t="s">
        <v>37</v>
      </c>
      <c r="F19" t="s">
        <v>22</v>
      </c>
      <c r="G19">
        <v>240</v>
      </c>
      <c r="H19" t="s">
        <v>23</v>
      </c>
      <c r="I19" t="s">
        <v>16</v>
      </c>
      <c r="J19" t="s">
        <v>57</v>
      </c>
    </row>
    <row r="20" spans="1:10" x14ac:dyDescent="0.35">
      <c r="A20">
        <v>19</v>
      </c>
      <c r="B20" t="s">
        <v>58</v>
      </c>
      <c r="C20" t="s">
        <v>30</v>
      </c>
      <c r="D20" t="s">
        <v>12</v>
      </c>
      <c r="E20" t="s">
        <v>48</v>
      </c>
      <c r="F20" t="s">
        <v>22</v>
      </c>
      <c r="G20">
        <v>115</v>
      </c>
      <c r="H20" t="s">
        <v>29</v>
      </c>
      <c r="I20" t="s">
        <v>16</v>
      </c>
      <c r="J20" t="s">
        <v>54</v>
      </c>
    </row>
    <row r="21" spans="1:10" x14ac:dyDescent="0.35">
      <c r="A21">
        <v>20</v>
      </c>
      <c r="B21" t="s">
        <v>35</v>
      </c>
      <c r="C21" t="s">
        <v>26</v>
      </c>
      <c r="D21" t="s">
        <v>12</v>
      </c>
      <c r="E21" t="s">
        <v>48</v>
      </c>
      <c r="F21" t="s">
        <v>14</v>
      </c>
      <c r="G21">
        <v>47</v>
      </c>
      <c r="H21" t="s">
        <v>33</v>
      </c>
      <c r="I21" t="s">
        <v>24</v>
      </c>
      <c r="J21" t="s">
        <v>50</v>
      </c>
    </row>
    <row r="22" spans="1:10" x14ac:dyDescent="0.35">
      <c r="A22">
        <v>21</v>
      </c>
      <c r="B22" t="s">
        <v>58</v>
      </c>
      <c r="C22" t="s">
        <v>26</v>
      </c>
      <c r="D22" t="s">
        <v>51</v>
      </c>
      <c r="E22" t="s">
        <v>21</v>
      </c>
      <c r="F22" t="s">
        <v>22</v>
      </c>
      <c r="G22">
        <v>257</v>
      </c>
      <c r="H22" t="s">
        <v>33</v>
      </c>
      <c r="I22" t="s">
        <v>24</v>
      </c>
      <c r="J22" t="s">
        <v>17</v>
      </c>
    </row>
    <row r="23" spans="1:10" x14ac:dyDescent="0.35">
      <c r="A23">
        <v>22</v>
      </c>
      <c r="B23" t="s">
        <v>44</v>
      </c>
      <c r="C23" t="s">
        <v>19</v>
      </c>
      <c r="D23" t="s">
        <v>27</v>
      </c>
      <c r="E23" t="s">
        <v>48</v>
      </c>
      <c r="F23" t="s">
        <v>22</v>
      </c>
      <c r="G23">
        <v>37</v>
      </c>
      <c r="H23" t="s">
        <v>38</v>
      </c>
      <c r="I23" t="s">
        <v>24</v>
      </c>
      <c r="J23" t="s">
        <v>42</v>
      </c>
    </row>
    <row r="24" spans="1:10" x14ac:dyDescent="0.35">
      <c r="A24">
        <v>23</v>
      </c>
      <c r="B24" t="s">
        <v>35</v>
      </c>
      <c r="C24" t="s">
        <v>47</v>
      </c>
      <c r="D24" t="s">
        <v>51</v>
      </c>
      <c r="E24" t="s">
        <v>31</v>
      </c>
      <c r="F24" t="s">
        <v>22</v>
      </c>
      <c r="G24">
        <v>291</v>
      </c>
      <c r="H24" t="s">
        <v>29</v>
      </c>
      <c r="I24" t="s">
        <v>41</v>
      </c>
      <c r="J24" t="s">
        <v>39</v>
      </c>
    </row>
    <row r="25" spans="1:10" x14ac:dyDescent="0.35">
      <c r="A25">
        <v>24</v>
      </c>
      <c r="B25" t="s">
        <v>44</v>
      </c>
      <c r="C25" t="s">
        <v>26</v>
      </c>
      <c r="D25" t="s">
        <v>20</v>
      </c>
      <c r="E25" t="s">
        <v>59</v>
      </c>
      <c r="F25" t="s">
        <v>14</v>
      </c>
      <c r="G25">
        <v>225</v>
      </c>
      <c r="H25" t="s">
        <v>33</v>
      </c>
      <c r="I25" t="s">
        <v>24</v>
      </c>
      <c r="J25" t="s">
        <v>34</v>
      </c>
    </row>
    <row r="26" spans="1:10" x14ac:dyDescent="0.35">
      <c r="A26">
        <v>25</v>
      </c>
      <c r="B26" t="s">
        <v>10</v>
      </c>
      <c r="C26" t="s">
        <v>19</v>
      </c>
      <c r="D26" t="s">
        <v>51</v>
      </c>
      <c r="E26" t="s">
        <v>55</v>
      </c>
      <c r="F26" t="s">
        <v>32</v>
      </c>
      <c r="G26">
        <v>295</v>
      </c>
      <c r="H26" t="s">
        <v>33</v>
      </c>
      <c r="I26" t="s">
        <v>24</v>
      </c>
      <c r="J26" t="s">
        <v>52</v>
      </c>
    </row>
    <row r="27" spans="1:10" x14ac:dyDescent="0.35">
      <c r="A27">
        <v>26</v>
      </c>
      <c r="B27" t="s">
        <v>46</v>
      </c>
      <c r="C27" t="s">
        <v>19</v>
      </c>
      <c r="D27" t="s">
        <v>36</v>
      </c>
      <c r="E27" t="s">
        <v>21</v>
      </c>
      <c r="F27" t="s">
        <v>14</v>
      </c>
      <c r="G27">
        <v>248</v>
      </c>
      <c r="H27" t="s">
        <v>23</v>
      </c>
      <c r="I27" t="s">
        <v>24</v>
      </c>
      <c r="J27" t="s">
        <v>25</v>
      </c>
    </row>
    <row r="28" spans="1:10" x14ac:dyDescent="0.35">
      <c r="A28">
        <v>27</v>
      </c>
      <c r="B28" t="s">
        <v>58</v>
      </c>
      <c r="C28" t="s">
        <v>11</v>
      </c>
      <c r="D28" t="s">
        <v>51</v>
      </c>
      <c r="E28" t="s">
        <v>59</v>
      </c>
      <c r="F28" t="s">
        <v>22</v>
      </c>
      <c r="G28">
        <v>257</v>
      </c>
      <c r="H28" t="s">
        <v>38</v>
      </c>
      <c r="I28" t="s">
        <v>41</v>
      </c>
      <c r="J28" t="s">
        <v>42</v>
      </c>
    </row>
    <row r="29" spans="1:10" x14ac:dyDescent="0.35">
      <c r="A29">
        <v>28</v>
      </c>
      <c r="B29" t="s">
        <v>18</v>
      </c>
      <c r="C29" t="s">
        <v>19</v>
      </c>
      <c r="D29" t="s">
        <v>36</v>
      </c>
      <c r="E29" t="s">
        <v>31</v>
      </c>
      <c r="F29" t="s">
        <v>14</v>
      </c>
      <c r="G29">
        <v>20</v>
      </c>
      <c r="H29" t="s">
        <v>38</v>
      </c>
      <c r="I29" t="s">
        <v>41</v>
      </c>
      <c r="J29" t="s">
        <v>39</v>
      </c>
    </row>
    <row r="30" spans="1:10" x14ac:dyDescent="0.35">
      <c r="A30">
        <v>29</v>
      </c>
      <c r="B30" t="s">
        <v>18</v>
      </c>
      <c r="C30" t="s">
        <v>45</v>
      </c>
      <c r="D30" t="s">
        <v>36</v>
      </c>
      <c r="E30" t="s">
        <v>31</v>
      </c>
      <c r="F30" t="s">
        <v>32</v>
      </c>
      <c r="G30">
        <v>94</v>
      </c>
      <c r="H30" t="s">
        <v>33</v>
      </c>
      <c r="I30" t="s">
        <v>41</v>
      </c>
      <c r="J30" t="s">
        <v>17</v>
      </c>
    </row>
    <row r="31" spans="1:10" x14ac:dyDescent="0.35">
      <c r="A31">
        <v>30</v>
      </c>
      <c r="B31" t="s">
        <v>58</v>
      </c>
      <c r="C31" t="s">
        <v>19</v>
      </c>
      <c r="D31" t="s">
        <v>12</v>
      </c>
      <c r="E31" t="s">
        <v>40</v>
      </c>
      <c r="F31" t="s">
        <v>32</v>
      </c>
      <c r="G31">
        <v>207</v>
      </c>
      <c r="H31" t="s">
        <v>23</v>
      </c>
      <c r="I31" t="s">
        <v>41</v>
      </c>
      <c r="J31" t="s">
        <v>49</v>
      </c>
    </row>
    <row r="32" spans="1:10" x14ac:dyDescent="0.35">
      <c r="A32">
        <v>31</v>
      </c>
      <c r="B32" t="s">
        <v>58</v>
      </c>
      <c r="C32" t="s">
        <v>47</v>
      </c>
      <c r="D32" t="s">
        <v>27</v>
      </c>
      <c r="E32" t="s">
        <v>13</v>
      </c>
      <c r="F32" t="s">
        <v>32</v>
      </c>
      <c r="G32">
        <v>286</v>
      </c>
      <c r="H32" t="s">
        <v>38</v>
      </c>
      <c r="I32" t="s">
        <v>41</v>
      </c>
      <c r="J32" t="s">
        <v>52</v>
      </c>
    </row>
    <row r="33" spans="1:10" x14ac:dyDescent="0.35">
      <c r="A33">
        <v>32</v>
      </c>
      <c r="B33" t="s">
        <v>10</v>
      </c>
      <c r="C33" t="s">
        <v>45</v>
      </c>
      <c r="D33" t="s">
        <v>27</v>
      </c>
      <c r="E33" t="s">
        <v>13</v>
      </c>
      <c r="F33" t="s">
        <v>32</v>
      </c>
      <c r="G33">
        <v>191</v>
      </c>
      <c r="H33" t="s">
        <v>33</v>
      </c>
      <c r="I33" t="s">
        <v>16</v>
      </c>
      <c r="J33" t="s">
        <v>54</v>
      </c>
    </row>
    <row r="34" spans="1:10" x14ac:dyDescent="0.35">
      <c r="A34">
        <v>33</v>
      </c>
      <c r="B34" t="s">
        <v>44</v>
      </c>
      <c r="C34" t="s">
        <v>26</v>
      </c>
      <c r="D34" t="s">
        <v>12</v>
      </c>
      <c r="E34" t="s">
        <v>31</v>
      </c>
      <c r="F34" t="s">
        <v>22</v>
      </c>
      <c r="G34">
        <v>218</v>
      </c>
      <c r="H34" t="s">
        <v>33</v>
      </c>
      <c r="I34" t="s">
        <v>24</v>
      </c>
      <c r="J34" t="s">
        <v>52</v>
      </c>
    </row>
    <row r="35" spans="1:10" x14ac:dyDescent="0.35">
      <c r="A35">
        <v>34</v>
      </c>
      <c r="B35" t="s">
        <v>46</v>
      </c>
      <c r="C35" t="s">
        <v>45</v>
      </c>
      <c r="D35" t="s">
        <v>36</v>
      </c>
      <c r="E35" t="s">
        <v>21</v>
      </c>
      <c r="F35" t="s">
        <v>32</v>
      </c>
      <c r="G35">
        <v>67</v>
      </c>
      <c r="H35" t="s">
        <v>33</v>
      </c>
      <c r="I35" t="s">
        <v>24</v>
      </c>
      <c r="J35" t="s">
        <v>56</v>
      </c>
    </row>
    <row r="36" spans="1:10" x14ac:dyDescent="0.35">
      <c r="A36">
        <v>35</v>
      </c>
      <c r="B36" t="s">
        <v>35</v>
      </c>
      <c r="C36" t="s">
        <v>47</v>
      </c>
      <c r="D36" t="s">
        <v>20</v>
      </c>
      <c r="E36" t="s">
        <v>31</v>
      </c>
      <c r="F36" t="s">
        <v>32</v>
      </c>
      <c r="G36">
        <v>258</v>
      </c>
      <c r="H36" t="s">
        <v>33</v>
      </c>
      <c r="I36" t="s">
        <v>24</v>
      </c>
      <c r="J36" t="s">
        <v>52</v>
      </c>
    </row>
    <row r="37" spans="1:10" x14ac:dyDescent="0.35">
      <c r="A37">
        <v>36</v>
      </c>
      <c r="B37" t="s">
        <v>46</v>
      </c>
      <c r="C37" t="s">
        <v>11</v>
      </c>
      <c r="D37" t="s">
        <v>27</v>
      </c>
      <c r="E37" t="s">
        <v>59</v>
      </c>
      <c r="F37" t="s">
        <v>22</v>
      </c>
      <c r="G37">
        <v>22</v>
      </c>
      <c r="H37" t="s">
        <v>15</v>
      </c>
      <c r="I37" t="s">
        <v>41</v>
      </c>
      <c r="J37" t="s">
        <v>57</v>
      </c>
    </row>
    <row r="38" spans="1:10" x14ac:dyDescent="0.35">
      <c r="A38">
        <v>37</v>
      </c>
      <c r="B38" t="s">
        <v>44</v>
      </c>
      <c r="C38" t="s">
        <v>19</v>
      </c>
      <c r="D38" t="s">
        <v>36</v>
      </c>
      <c r="E38" t="s">
        <v>13</v>
      </c>
      <c r="F38" t="s">
        <v>32</v>
      </c>
      <c r="G38">
        <v>289</v>
      </c>
      <c r="H38" t="s">
        <v>33</v>
      </c>
      <c r="I38" t="s">
        <v>41</v>
      </c>
      <c r="J38" t="s">
        <v>49</v>
      </c>
    </row>
    <row r="39" spans="1:10" x14ac:dyDescent="0.35">
      <c r="A39">
        <v>38</v>
      </c>
      <c r="B39" t="s">
        <v>10</v>
      </c>
      <c r="C39" t="s">
        <v>26</v>
      </c>
      <c r="D39" t="s">
        <v>27</v>
      </c>
      <c r="E39" t="s">
        <v>40</v>
      </c>
      <c r="F39" t="s">
        <v>32</v>
      </c>
      <c r="G39">
        <v>88</v>
      </c>
      <c r="H39" t="s">
        <v>38</v>
      </c>
      <c r="I39" t="s">
        <v>24</v>
      </c>
      <c r="J39" t="s">
        <v>52</v>
      </c>
    </row>
    <row r="40" spans="1:10" x14ac:dyDescent="0.35">
      <c r="A40">
        <v>39</v>
      </c>
      <c r="B40" t="s">
        <v>35</v>
      </c>
      <c r="C40" t="s">
        <v>47</v>
      </c>
      <c r="D40" t="s">
        <v>51</v>
      </c>
      <c r="E40" t="s">
        <v>55</v>
      </c>
      <c r="F40" t="s">
        <v>22</v>
      </c>
      <c r="G40">
        <v>51</v>
      </c>
      <c r="H40" t="s">
        <v>53</v>
      </c>
      <c r="I40" t="s">
        <v>16</v>
      </c>
      <c r="J40" t="s">
        <v>56</v>
      </c>
    </row>
    <row r="41" spans="1:10" x14ac:dyDescent="0.35">
      <c r="A41">
        <v>40</v>
      </c>
      <c r="B41" t="s">
        <v>46</v>
      </c>
      <c r="C41" t="s">
        <v>19</v>
      </c>
      <c r="D41" t="s">
        <v>20</v>
      </c>
      <c r="E41" t="s">
        <v>40</v>
      </c>
      <c r="F41" t="s">
        <v>14</v>
      </c>
      <c r="G41">
        <v>126</v>
      </c>
      <c r="H41" t="s">
        <v>53</v>
      </c>
      <c r="I41" t="s">
        <v>24</v>
      </c>
      <c r="J41" t="s">
        <v>25</v>
      </c>
    </row>
    <row r="42" spans="1:10" x14ac:dyDescent="0.35">
      <c r="A42">
        <v>41</v>
      </c>
      <c r="B42" t="s">
        <v>46</v>
      </c>
      <c r="C42" t="s">
        <v>45</v>
      </c>
      <c r="D42" t="s">
        <v>12</v>
      </c>
      <c r="E42" t="s">
        <v>28</v>
      </c>
      <c r="F42" t="s">
        <v>14</v>
      </c>
      <c r="G42">
        <v>102</v>
      </c>
      <c r="H42" t="s">
        <v>53</v>
      </c>
      <c r="I42" t="s">
        <v>16</v>
      </c>
      <c r="J42" t="s">
        <v>50</v>
      </c>
    </row>
    <row r="43" spans="1:10" x14ac:dyDescent="0.35">
      <c r="A43">
        <v>42</v>
      </c>
      <c r="B43" t="s">
        <v>35</v>
      </c>
      <c r="C43" t="s">
        <v>45</v>
      </c>
      <c r="D43" t="s">
        <v>36</v>
      </c>
      <c r="E43" t="s">
        <v>48</v>
      </c>
      <c r="F43" t="s">
        <v>32</v>
      </c>
      <c r="G43">
        <v>263</v>
      </c>
      <c r="H43" t="s">
        <v>15</v>
      </c>
      <c r="I43" t="s">
        <v>16</v>
      </c>
      <c r="J43" t="s">
        <v>57</v>
      </c>
    </row>
    <row r="44" spans="1:10" x14ac:dyDescent="0.35">
      <c r="A44">
        <v>43</v>
      </c>
      <c r="B44" t="s">
        <v>58</v>
      </c>
      <c r="C44" t="s">
        <v>30</v>
      </c>
      <c r="D44" t="s">
        <v>36</v>
      </c>
      <c r="E44" t="s">
        <v>59</v>
      </c>
      <c r="F44" t="s">
        <v>32</v>
      </c>
      <c r="G44">
        <v>67</v>
      </c>
      <c r="H44" t="s">
        <v>23</v>
      </c>
      <c r="I44" t="s">
        <v>24</v>
      </c>
      <c r="J44" t="s">
        <v>57</v>
      </c>
    </row>
    <row r="45" spans="1:10" x14ac:dyDescent="0.35">
      <c r="A45">
        <v>44</v>
      </c>
      <c r="B45" t="s">
        <v>44</v>
      </c>
      <c r="C45" t="s">
        <v>30</v>
      </c>
      <c r="D45" t="s">
        <v>36</v>
      </c>
      <c r="E45" t="s">
        <v>55</v>
      </c>
      <c r="F45" t="s">
        <v>32</v>
      </c>
      <c r="G45">
        <v>276</v>
      </c>
      <c r="H45" t="s">
        <v>53</v>
      </c>
      <c r="I45" t="s">
        <v>41</v>
      </c>
      <c r="J45" t="s">
        <v>34</v>
      </c>
    </row>
    <row r="46" spans="1:10" x14ac:dyDescent="0.35">
      <c r="A46">
        <v>45</v>
      </c>
      <c r="B46" t="s">
        <v>10</v>
      </c>
      <c r="C46" t="s">
        <v>47</v>
      </c>
      <c r="D46" t="s">
        <v>27</v>
      </c>
      <c r="E46" t="s">
        <v>31</v>
      </c>
      <c r="F46" t="s">
        <v>32</v>
      </c>
      <c r="G46">
        <v>97</v>
      </c>
      <c r="H46" t="s">
        <v>33</v>
      </c>
      <c r="I46" t="s">
        <v>16</v>
      </c>
      <c r="J46" t="s">
        <v>49</v>
      </c>
    </row>
    <row r="47" spans="1:10" x14ac:dyDescent="0.35">
      <c r="A47">
        <v>46</v>
      </c>
      <c r="B47" t="s">
        <v>35</v>
      </c>
      <c r="C47" t="s">
        <v>47</v>
      </c>
      <c r="D47" t="s">
        <v>12</v>
      </c>
      <c r="E47" t="s">
        <v>60</v>
      </c>
      <c r="F47" t="s">
        <v>22</v>
      </c>
      <c r="G47">
        <v>103</v>
      </c>
      <c r="H47" t="s">
        <v>33</v>
      </c>
      <c r="I47" t="s">
        <v>41</v>
      </c>
      <c r="J47" t="s">
        <v>50</v>
      </c>
    </row>
    <row r="48" spans="1:10" x14ac:dyDescent="0.35">
      <c r="A48">
        <v>47</v>
      </c>
      <c r="B48" t="s">
        <v>44</v>
      </c>
      <c r="C48" t="s">
        <v>45</v>
      </c>
      <c r="D48" t="s">
        <v>36</v>
      </c>
      <c r="E48" t="s">
        <v>59</v>
      </c>
      <c r="F48" t="s">
        <v>32</v>
      </c>
      <c r="G48">
        <v>281</v>
      </c>
      <c r="H48" t="s">
        <v>33</v>
      </c>
      <c r="I48" t="s">
        <v>24</v>
      </c>
      <c r="J48" t="s">
        <v>54</v>
      </c>
    </row>
    <row r="49" spans="1:10" x14ac:dyDescent="0.35">
      <c r="A49">
        <v>48</v>
      </c>
      <c r="B49" t="s">
        <v>46</v>
      </c>
      <c r="C49" t="s">
        <v>26</v>
      </c>
      <c r="D49" t="s">
        <v>51</v>
      </c>
      <c r="E49" t="s">
        <v>40</v>
      </c>
      <c r="F49" t="s">
        <v>32</v>
      </c>
      <c r="G49">
        <v>105</v>
      </c>
      <c r="H49" t="s">
        <v>15</v>
      </c>
      <c r="I49" t="s">
        <v>16</v>
      </c>
      <c r="J49" t="s">
        <v>52</v>
      </c>
    </row>
    <row r="50" spans="1:10" x14ac:dyDescent="0.35">
      <c r="A50">
        <v>49</v>
      </c>
      <c r="B50" t="s">
        <v>58</v>
      </c>
      <c r="C50" t="s">
        <v>47</v>
      </c>
      <c r="D50" t="s">
        <v>27</v>
      </c>
      <c r="E50" t="s">
        <v>37</v>
      </c>
      <c r="F50" t="s">
        <v>22</v>
      </c>
      <c r="G50">
        <v>274</v>
      </c>
      <c r="H50" t="s">
        <v>23</v>
      </c>
      <c r="I50" t="s">
        <v>16</v>
      </c>
      <c r="J50" t="s">
        <v>57</v>
      </c>
    </row>
    <row r="51" spans="1:10" x14ac:dyDescent="0.35">
      <c r="A51">
        <v>50</v>
      </c>
      <c r="B51" t="s">
        <v>18</v>
      </c>
      <c r="C51" t="s">
        <v>19</v>
      </c>
      <c r="D51" t="s">
        <v>12</v>
      </c>
      <c r="E51" t="s">
        <v>40</v>
      </c>
      <c r="F51" t="s">
        <v>32</v>
      </c>
      <c r="G51">
        <v>113</v>
      </c>
      <c r="H51" t="s">
        <v>53</v>
      </c>
      <c r="I51" t="s">
        <v>24</v>
      </c>
      <c r="J51" t="s">
        <v>34</v>
      </c>
    </row>
    <row r="52" spans="1:10" x14ac:dyDescent="0.35">
      <c r="A52">
        <v>51</v>
      </c>
      <c r="B52" t="s">
        <v>58</v>
      </c>
      <c r="C52" t="s">
        <v>19</v>
      </c>
      <c r="D52" t="s">
        <v>36</v>
      </c>
      <c r="E52" t="s">
        <v>59</v>
      </c>
      <c r="F52" t="s">
        <v>14</v>
      </c>
      <c r="G52">
        <v>291</v>
      </c>
      <c r="H52" t="s">
        <v>23</v>
      </c>
      <c r="I52" t="s">
        <v>16</v>
      </c>
      <c r="J52" t="s">
        <v>56</v>
      </c>
    </row>
    <row r="53" spans="1:10" x14ac:dyDescent="0.35">
      <c r="A53">
        <v>52</v>
      </c>
      <c r="B53" t="s">
        <v>10</v>
      </c>
      <c r="C53" t="s">
        <v>45</v>
      </c>
      <c r="D53" t="s">
        <v>12</v>
      </c>
      <c r="E53" t="s">
        <v>60</v>
      </c>
      <c r="F53" t="s">
        <v>22</v>
      </c>
      <c r="G53">
        <v>77</v>
      </c>
      <c r="H53" t="s">
        <v>15</v>
      </c>
      <c r="I53" t="s">
        <v>16</v>
      </c>
      <c r="J53" t="s">
        <v>52</v>
      </c>
    </row>
    <row r="54" spans="1:10" x14ac:dyDescent="0.35">
      <c r="A54">
        <v>53</v>
      </c>
      <c r="B54" t="s">
        <v>10</v>
      </c>
      <c r="C54" t="s">
        <v>19</v>
      </c>
      <c r="D54" t="s">
        <v>36</v>
      </c>
      <c r="E54" t="s">
        <v>48</v>
      </c>
      <c r="F54" t="s">
        <v>32</v>
      </c>
      <c r="G54">
        <v>56</v>
      </c>
      <c r="H54" t="s">
        <v>38</v>
      </c>
      <c r="I54" t="s">
        <v>24</v>
      </c>
      <c r="J54" t="s">
        <v>39</v>
      </c>
    </row>
    <row r="55" spans="1:10" x14ac:dyDescent="0.35">
      <c r="A55">
        <v>54</v>
      </c>
      <c r="B55" t="s">
        <v>18</v>
      </c>
      <c r="C55" t="s">
        <v>30</v>
      </c>
      <c r="D55" t="s">
        <v>27</v>
      </c>
      <c r="E55" t="s">
        <v>28</v>
      </c>
      <c r="F55" t="s">
        <v>14</v>
      </c>
      <c r="G55">
        <v>172</v>
      </c>
      <c r="H55" t="s">
        <v>23</v>
      </c>
      <c r="I55" t="s">
        <v>41</v>
      </c>
      <c r="J55" t="s">
        <v>43</v>
      </c>
    </row>
    <row r="56" spans="1:10" x14ac:dyDescent="0.35">
      <c r="A56">
        <v>55</v>
      </c>
      <c r="B56" t="s">
        <v>44</v>
      </c>
      <c r="C56" t="s">
        <v>19</v>
      </c>
      <c r="D56" t="s">
        <v>12</v>
      </c>
      <c r="E56" t="s">
        <v>37</v>
      </c>
      <c r="F56" t="s">
        <v>32</v>
      </c>
      <c r="G56">
        <v>101</v>
      </c>
      <c r="H56" t="s">
        <v>29</v>
      </c>
      <c r="I56" t="s">
        <v>24</v>
      </c>
      <c r="J56" t="s">
        <v>56</v>
      </c>
    </row>
    <row r="57" spans="1:10" x14ac:dyDescent="0.35">
      <c r="A57">
        <v>56</v>
      </c>
      <c r="B57" t="s">
        <v>10</v>
      </c>
      <c r="C57" t="s">
        <v>30</v>
      </c>
      <c r="D57" t="s">
        <v>20</v>
      </c>
      <c r="E57" t="s">
        <v>40</v>
      </c>
      <c r="F57" t="s">
        <v>32</v>
      </c>
      <c r="G57">
        <v>156</v>
      </c>
      <c r="H57" t="s">
        <v>15</v>
      </c>
      <c r="I57" t="s">
        <v>41</v>
      </c>
      <c r="J57" t="s">
        <v>57</v>
      </c>
    </row>
    <row r="58" spans="1:10" x14ac:dyDescent="0.35">
      <c r="A58">
        <v>57</v>
      </c>
      <c r="B58" t="s">
        <v>35</v>
      </c>
      <c r="C58" t="s">
        <v>26</v>
      </c>
      <c r="D58" t="s">
        <v>36</v>
      </c>
      <c r="E58" t="s">
        <v>28</v>
      </c>
      <c r="F58" t="s">
        <v>22</v>
      </c>
      <c r="G58">
        <v>46</v>
      </c>
      <c r="H58" t="s">
        <v>53</v>
      </c>
      <c r="I58" t="s">
        <v>24</v>
      </c>
      <c r="J58" t="s">
        <v>39</v>
      </c>
    </row>
    <row r="59" spans="1:10" x14ac:dyDescent="0.35">
      <c r="A59">
        <v>58</v>
      </c>
      <c r="B59" t="s">
        <v>35</v>
      </c>
      <c r="C59" t="s">
        <v>11</v>
      </c>
      <c r="D59" t="s">
        <v>27</v>
      </c>
      <c r="E59" t="s">
        <v>21</v>
      </c>
      <c r="F59" t="s">
        <v>32</v>
      </c>
      <c r="G59">
        <v>265</v>
      </c>
      <c r="H59" t="s">
        <v>38</v>
      </c>
      <c r="I59" t="s">
        <v>41</v>
      </c>
      <c r="J59" t="s">
        <v>17</v>
      </c>
    </row>
    <row r="60" spans="1:10" x14ac:dyDescent="0.35">
      <c r="A60">
        <v>59</v>
      </c>
      <c r="B60" t="s">
        <v>44</v>
      </c>
      <c r="C60" t="s">
        <v>47</v>
      </c>
      <c r="D60" t="s">
        <v>12</v>
      </c>
      <c r="E60" t="s">
        <v>13</v>
      </c>
      <c r="F60" t="s">
        <v>14</v>
      </c>
      <c r="G60">
        <v>138</v>
      </c>
      <c r="H60" t="s">
        <v>29</v>
      </c>
      <c r="I60" t="s">
        <v>16</v>
      </c>
      <c r="J60" t="s">
        <v>52</v>
      </c>
    </row>
    <row r="61" spans="1:10" x14ac:dyDescent="0.35">
      <c r="A61">
        <v>60</v>
      </c>
      <c r="B61" t="s">
        <v>58</v>
      </c>
      <c r="C61" t="s">
        <v>26</v>
      </c>
      <c r="D61" t="s">
        <v>20</v>
      </c>
      <c r="E61" t="s">
        <v>55</v>
      </c>
      <c r="F61" t="s">
        <v>22</v>
      </c>
      <c r="G61">
        <v>88</v>
      </c>
      <c r="H61" t="s">
        <v>53</v>
      </c>
      <c r="I61" t="s">
        <v>16</v>
      </c>
      <c r="J61" t="s">
        <v>50</v>
      </c>
    </row>
    <row r="62" spans="1:10" x14ac:dyDescent="0.35">
      <c r="A62">
        <v>61</v>
      </c>
      <c r="B62" t="s">
        <v>46</v>
      </c>
      <c r="C62" t="s">
        <v>19</v>
      </c>
      <c r="D62" t="s">
        <v>36</v>
      </c>
      <c r="E62" t="s">
        <v>21</v>
      </c>
      <c r="F62" t="s">
        <v>32</v>
      </c>
      <c r="G62">
        <v>168</v>
      </c>
      <c r="H62" t="s">
        <v>23</v>
      </c>
      <c r="I62" t="s">
        <v>24</v>
      </c>
      <c r="J62" t="s">
        <v>42</v>
      </c>
    </row>
    <row r="63" spans="1:10" x14ac:dyDescent="0.35">
      <c r="A63">
        <v>62</v>
      </c>
      <c r="B63" t="s">
        <v>35</v>
      </c>
      <c r="C63" t="s">
        <v>47</v>
      </c>
      <c r="D63" t="s">
        <v>12</v>
      </c>
      <c r="E63" t="s">
        <v>59</v>
      </c>
      <c r="F63" t="s">
        <v>14</v>
      </c>
      <c r="G63">
        <v>269</v>
      </c>
      <c r="H63" t="s">
        <v>33</v>
      </c>
      <c r="I63" t="s">
        <v>41</v>
      </c>
      <c r="J63" t="s">
        <v>49</v>
      </c>
    </row>
    <row r="64" spans="1:10" x14ac:dyDescent="0.35">
      <c r="A64">
        <v>63</v>
      </c>
      <c r="B64" t="s">
        <v>58</v>
      </c>
      <c r="C64" t="s">
        <v>45</v>
      </c>
      <c r="D64" t="s">
        <v>12</v>
      </c>
      <c r="E64" t="s">
        <v>60</v>
      </c>
      <c r="F64" t="s">
        <v>14</v>
      </c>
      <c r="G64">
        <v>38</v>
      </c>
      <c r="H64" t="s">
        <v>23</v>
      </c>
      <c r="I64" t="s">
        <v>16</v>
      </c>
      <c r="J64" t="s">
        <v>34</v>
      </c>
    </row>
    <row r="65" spans="1:10" x14ac:dyDescent="0.35">
      <c r="A65">
        <v>64</v>
      </c>
      <c r="B65" t="s">
        <v>10</v>
      </c>
      <c r="C65" t="s">
        <v>19</v>
      </c>
      <c r="D65" t="s">
        <v>36</v>
      </c>
      <c r="E65" t="s">
        <v>28</v>
      </c>
      <c r="F65" t="s">
        <v>32</v>
      </c>
      <c r="G65">
        <v>127</v>
      </c>
      <c r="H65" t="s">
        <v>33</v>
      </c>
      <c r="I65" t="s">
        <v>41</v>
      </c>
      <c r="J65" t="s">
        <v>25</v>
      </c>
    </row>
    <row r="66" spans="1:10" x14ac:dyDescent="0.35">
      <c r="A66">
        <v>65</v>
      </c>
      <c r="B66" t="s">
        <v>18</v>
      </c>
      <c r="C66" t="s">
        <v>26</v>
      </c>
      <c r="D66" t="s">
        <v>27</v>
      </c>
      <c r="E66" t="s">
        <v>40</v>
      </c>
      <c r="F66" t="s">
        <v>14</v>
      </c>
      <c r="G66">
        <v>66</v>
      </c>
      <c r="H66" t="s">
        <v>53</v>
      </c>
      <c r="I66" t="s">
        <v>24</v>
      </c>
      <c r="J66" t="s">
        <v>56</v>
      </c>
    </row>
    <row r="67" spans="1:10" x14ac:dyDescent="0.35">
      <c r="A67">
        <v>66</v>
      </c>
      <c r="B67" t="s">
        <v>58</v>
      </c>
      <c r="C67" t="s">
        <v>47</v>
      </c>
      <c r="D67" t="s">
        <v>12</v>
      </c>
      <c r="E67" t="s">
        <v>21</v>
      </c>
      <c r="F67" t="s">
        <v>22</v>
      </c>
      <c r="G67">
        <v>29</v>
      </c>
      <c r="H67" t="s">
        <v>23</v>
      </c>
      <c r="I67" t="s">
        <v>16</v>
      </c>
      <c r="J67" t="s">
        <v>50</v>
      </c>
    </row>
    <row r="68" spans="1:10" x14ac:dyDescent="0.35">
      <c r="A68">
        <v>67</v>
      </c>
      <c r="B68" t="s">
        <v>46</v>
      </c>
      <c r="C68" t="s">
        <v>45</v>
      </c>
      <c r="D68" t="s">
        <v>27</v>
      </c>
      <c r="E68" t="s">
        <v>60</v>
      </c>
      <c r="F68" t="s">
        <v>32</v>
      </c>
      <c r="G68">
        <v>168</v>
      </c>
      <c r="H68" t="s">
        <v>15</v>
      </c>
      <c r="I68" t="s">
        <v>16</v>
      </c>
      <c r="J68" t="s">
        <v>17</v>
      </c>
    </row>
    <row r="69" spans="1:10" x14ac:dyDescent="0.35">
      <c r="A69">
        <v>68</v>
      </c>
      <c r="B69" t="s">
        <v>46</v>
      </c>
      <c r="C69" t="s">
        <v>26</v>
      </c>
      <c r="D69" t="s">
        <v>27</v>
      </c>
      <c r="E69" t="s">
        <v>28</v>
      </c>
      <c r="F69" t="s">
        <v>22</v>
      </c>
      <c r="G69">
        <v>130</v>
      </c>
      <c r="H69" t="s">
        <v>15</v>
      </c>
      <c r="I69" t="s">
        <v>24</v>
      </c>
      <c r="J69" t="s">
        <v>57</v>
      </c>
    </row>
    <row r="70" spans="1:10" x14ac:dyDescent="0.35">
      <c r="A70">
        <v>69</v>
      </c>
      <c r="B70" t="s">
        <v>44</v>
      </c>
      <c r="C70" t="s">
        <v>11</v>
      </c>
      <c r="D70" t="s">
        <v>51</v>
      </c>
      <c r="E70" t="s">
        <v>40</v>
      </c>
      <c r="F70" t="s">
        <v>22</v>
      </c>
      <c r="G70">
        <v>227</v>
      </c>
      <c r="H70" t="s">
        <v>38</v>
      </c>
      <c r="I70" t="s">
        <v>16</v>
      </c>
      <c r="J70" t="s">
        <v>42</v>
      </c>
    </row>
    <row r="71" spans="1:10" x14ac:dyDescent="0.35">
      <c r="A71">
        <v>70</v>
      </c>
      <c r="B71" t="s">
        <v>10</v>
      </c>
      <c r="C71" t="s">
        <v>47</v>
      </c>
      <c r="D71" t="s">
        <v>12</v>
      </c>
      <c r="E71" t="s">
        <v>48</v>
      </c>
      <c r="F71" t="s">
        <v>32</v>
      </c>
      <c r="G71">
        <v>276</v>
      </c>
      <c r="H71" t="s">
        <v>15</v>
      </c>
      <c r="I71" t="s">
        <v>41</v>
      </c>
      <c r="J71" t="s">
        <v>54</v>
      </c>
    </row>
    <row r="72" spans="1:10" x14ac:dyDescent="0.35">
      <c r="A72">
        <v>71</v>
      </c>
      <c r="B72" t="s">
        <v>58</v>
      </c>
      <c r="C72" t="s">
        <v>26</v>
      </c>
      <c r="D72" t="s">
        <v>36</v>
      </c>
      <c r="E72" t="s">
        <v>55</v>
      </c>
      <c r="F72" t="s">
        <v>14</v>
      </c>
      <c r="G72">
        <v>169</v>
      </c>
      <c r="H72" t="s">
        <v>23</v>
      </c>
      <c r="I72" t="s">
        <v>24</v>
      </c>
      <c r="J72" t="s">
        <v>54</v>
      </c>
    </row>
    <row r="73" spans="1:10" x14ac:dyDescent="0.35">
      <c r="A73">
        <v>72</v>
      </c>
      <c r="B73" t="s">
        <v>18</v>
      </c>
      <c r="C73" t="s">
        <v>30</v>
      </c>
      <c r="D73" t="s">
        <v>36</v>
      </c>
      <c r="E73" t="s">
        <v>21</v>
      </c>
      <c r="F73" t="s">
        <v>22</v>
      </c>
      <c r="G73">
        <v>130</v>
      </c>
      <c r="H73" t="s">
        <v>23</v>
      </c>
      <c r="I73" t="s">
        <v>16</v>
      </c>
      <c r="J73" t="s">
        <v>54</v>
      </c>
    </row>
    <row r="74" spans="1:10" x14ac:dyDescent="0.35">
      <c r="A74">
        <v>73</v>
      </c>
      <c r="B74" t="s">
        <v>58</v>
      </c>
      <c r="C74" t="s">
        <v>30</v>
      </c>
      <c r="D74" t="s">
        <v>20</v>
      </c>
      <c r="E74" t="s">
        <v>60</v>
      </c>
      <c r="F74" t="s">
        <v>14</v>
      </c>
      <c r="G74">
        <v>113</v>
      </c>
      <c r="H74" t="s">
        <v>33</v>
      </c>
      <c r="I74" t="s">
        <v>24</v>
      </c>
      <c r="J74" t="s">
        <v>54</v>
      </c>
    </row>
    <row r="75" spans="1:10" x14ac:dyDescent="0.35">
      <c r="A75">
        <v>74</v>
      </c>
      <c r="B75" t="s">
        <v>46</v>
      </c>
      <c r="C75" t="s">
        <v>11</v>
      </c>
      <c r="D75" t="s">
        <v>36</v>
      </c>
      <c r="E75" t="s">
        <v>28</v>
      </c>
      <c r="F75" t="s">
        <v>22</v>
      </c>
      <c r="G75">
        <v>95</v>
      </c>
      <c r="H75" t="s">
        <v>38</v>
      </c>
      <c r="I75" t="s">
        <v>24</v>
      </c>
      <c r="J75" t="s">
        <v>42</v>
      </c>
    </row>
    <row r="76" spans="1:10" x14ac:dyDescent="0.35">
      <c r="A76">
        <v>75</v>
      </c>
      <c r="B76" t="s">
        <v>35</v>
      </c>
      <c r="C76" t="s">
        <v>19</v>
      </c>
      <c r="D76" t="s">
        <v>27</v>
      </c>
      <c r="E76" t="s">
        <v>37</v>
      </c>
      <c r="F76" t="s">
        <v>32</v>
      </c>
      <c r="G76">
        <v>101</v>
      </c>
      <c r="H76" t="s">
        <v>33</v>
      </c>
      <c r="I76" t="s">
        <v>24</v>
      </c>
      <c r="J76" t="s">
        <v>34</v>
      </c>
    </row>
    <row r="77" spans="1:10" x14ac:dyDescent="0.35">
      <c r="A77">
        <v>76</v>
      </c>
      <c r="B77" t="s">
        <v>58</v>
      </c>
      <c r="C77" t="s">
        <v>19</v>
      </c>
      <c r="D77" t="s">
        <v>20</v>
      </c>
      <c r="E77" t="s">
        <v>48</v>
      </c>
      <c r="F77" t="s">
        <v>14</v>
      </c>
      <c r="G77">
        <v>122</v>
      </c>
      <c r="H77" t="s">
        <v>53</v>
      </c>
      <c r="I77" t="s">
        <v>24</v>
      </c>
      <c r="J77" t="s">
        <v>54</v>
      </c>
    </row>
    <row r="78" spans="1:10" x14ac:dyDescent="0.35">
      <c r="A78">
        <v>77</v>
      </c>
      <c r="B78" t="s">
        <v>35</v>
      </c>
      <c r="C78" t="s">
        <v>45</v>
      </c>
      <c r="D78" t="s">
        <v>36</v>
      </c>
      <c r="E78" t="s">
        <v>31</v>
      </c>
      <c r="F78" t="s">
        <v>32</v>
      </c>
      <c r="G78">
        <v>167</v>
      </c>
      <c r="H78" t="s">
        <v>23</v>
      </c>
      <c r="I78" t="s">
        <v>16</v>
      </c>
      <c r="J78" t="s">
        <v>42</v>
      </c>
    </row>
    <row r="79" spans="1:10" x14ac:dyDescent="0.35">
      <c r="A79">
        <v>78</v>
      </c>
      <c r="B79" t="s">
        <v>18</v>
      </c>
      <c r="C79" t="s">
        <v>19</v>
      </c>
      <c r="D79" t="s">
        <v>36</v>
      </c>
      <c r="E79" t="s">
        <v>31</v>
      </c>
      <c r="F79" t="s">
        <v>32</v>
      </c>
      <c r="G79">
        <v>39</v>
      </c>
      <c r="H79" t="s">
        <v>23</v>
      </c>
      <c r="I79" t="s">
        <v>16</v>
      </c>
      <c r="J79" t="s">
        <v>57</v>
      </c>
    </row>
    <row r="80" spans="1:10" x14ac:dyDescent="0.35">
      <c r="A80">
        <v>79</v>
      </c>
      <c r="B80" t="s">
        <v>44</v>
      </c>
      <c r="C80" t="s">
        <v>45</v>
      </c>
      <c r="D80" t="s">
        <v>51</v>
      </c>
      <c r="E80" t="s">
        <v>13</v>
      </c>
      <c r="F80" t="s">
        <v>32</v>
      </c>
      <c r="G80">
        <v>241</v>
      </c>
      <c r="H80" t="s">
        <v>33</v>
      </c>
      <c r="I80" t="s">
        <v>41</v>
      </c>
      <c r="J80" t="s">
        <v>42</v>
      </c>
    </row>
    <row r="81" spans="1:10" x14ac:dyDescent="0.35">
      <c r="A81">
        <v>80</v>
      </c>
      <c r="B81" t="s">
        <v>18</v>
      </c>
      <c r="C81" t="s">
        <v>26</v>
      </c>
      <c r="D81" t="s">
        <v>27</v>
      </c>
      <c r="E81" t="s">
        <v>60</v>
      </c>
      <c r="F81" t="s">
        <v>22</v>
      </c>
      <c r="G81">
        <v>160</v>
      </c>
      <c r="H81" t="s">
        <v>23</v>
      </c>
      <c r="I81" t="s">
        <v>41</v>
      </c>
      <c r="J81" t="s">
        <v>54</v>
      </c>
    </row>
    <row r="82" spans="1:10" x14ac:dyDescent="0.35">
      <c r="A82">
        <v>81</v>
      </c>
      <c r="B82" t="s">
        <v>35</v>
      </c>
      <c r="C82" t="s">
        <v>30</v>
      </c>
      <c r="D82" t="s">
        <v>12</v>
      </c>
      <c r="E82" t="s">
        <v>28</v>
      </c>
      <c r="F82" t="s">
        <v>14</v>
      </c>
      <c r="G82">
        <v>162</v>
      </c>
      <c r="H82" t="s">
        <v>33</v>
      </c>
      <c r="I82" t="s">
        <v>24</v>
      </c>
      <c r="J82" t="s">
        <v>52</v>
      </c>
    </row>
    <row r="83" spans="1:10" x14ac:dyDescent="0.35">
      <c r="A83">
        <v>82</v>
      </c>
      <c r="B83" t="s">
        <v>44</v>
      </c>
      <c r="C83" t="s">
        <v>45</v>
      </c>
      <c r="D83" t="s">
        <v>51</v>
      </c>
      <c r="E83" t="s">
        <v>31</v>
      </c>
      <c r="F83" t="s">
        <v>32</v>
      </c>
      <c r="G83">
        <v>36</v>
      </c>
      <c r="H83" t="s">
        <v>38</v>
      </c>
      <c r="I83" t="s">
        <v>16</v>
      </c>
      <c r="J83" t="s">
        <v>57</v>
      </c>
    </row>
    <row r="84" spans="1:10" x14ac:dyDescent="0.35">
      <c r="A84">
        <v>83</v>
      </c>
      <c r="B84" t="s">
        <v>58</v>
      </c>
      <c r="C84" t="s">
        <v>47</v>
      </c>
      <c r="D84" t="s">
        <v>36</v>
      </c>
      <c r="E84" t="s">
        <v>21</v>
      </c>
      <c r="F84" t="s">
        <v>22</v>
      </c>
      <c r="G84">
        <v>86</v>
      </c>
      <c r="H84" t="s">
        <v>33</v>
      </c>
      <c r="I84" t="s">
        <v>16</v>
      </c>
      <c r="J84" t="s">
        <v>54</v>
      </c>
    </row>
    <row r="85" spans="1:10" x14ac:dyDescent="0.35">
      <c r="A85">
        <v>84</v>
      </c>
      <c r="B85" t="s">
        <v>18</v>
      </c>
      <c r="C85" t="s">
        <v>47</v>
      </c>
      <c r="D85" t="s">
        <v>51</v>
      </c>
      <c r="E85" t="s">
        <v>37</v>
      </c>
      <c r="F85" t="s">
        <v>22</v>
      </c>
      <c r="G85">
        <v>107</v>
      </c>
      <c r="H85" t="s">
        <v>53</v>
      </c>
      <c r="I85" t="s">
        <v>16</v>
      </c>
      <c r="J85" t="s">
        <v>25</v>
      </c>
    </row>
    <row r="86" spans="1:10" x14ac:dyDescent="0.35">
      <c r="A86">
        <v>85</v>
      </c>
      <c r="B86" t="s">
        <v>18</v>
      </c>
      <c r="C86" t="s">
        <v>26</v>
      </c>
      <c r="D86" t="s">
        <v>36</v>
      </c>
      <c r="E86" t="s">
        <v>28</v>
      </c>
      <c r="F86" t="s">
        <v>22</v>
      </c>
      <c r="G86">
        <v>48</v>
      </c>
      <c r="H86" t="s">
        <v>33</v>
      </c>
      <c r="I86" t="s">
        <v>24</v>
      </c>
      <c r="J86" t="s">
        <v>52</v>
      </c>
    </row>
    <row r="87" spans="1:10" x14ac:dyDescent="0.35">
      <c r="A87">
        <v>86</v>
      </c>
      <c r="B87" t="s">
        <v>18</v>
      </c>
      <c r="C87" t="s">
        <v>30</v>
      </c>
      <c r="D87" t="s">
        <v>51</v>
      </c>
      <c r="E87" t="s">
        <v>59</v>
      </c>
      <c r="F87" t="s">
        <v>22</v>
      </c>
      <c r="G87">
        <v>242</v>
      </c>
      <c r="H87" t="s">
        <v>23</v>
      </c>
      <c r="I87" t="s">
        <v>41</v>
      </c>
      <c r="J87" t="s">
        <v>49</v>
      </c>
    </row>
    <row r="88" spans="1:10" x14ac:dyDescent="0.35">
      <c r="A88">
        <v>87</v>
      </c>
      <c r="B88" t="s">
        <v>18</v>
      </c>
      <c r="C88" t="s">
        <v>30</v>
      </c>
      <c r="D88" t="s">
        <v>51</v>
      </c>
      <c r="E88" t="s">
        <v>37</v>
      </c>
      <c r="F88" t="s">
        <v>32</v>
      </c>
      <c r="G88">
        <v>59</v>
      </c>
      <c r="H88" t="s">
        <v>53</v>
      </c>
      <c r="I88" t="s">
        <v>41</v>
      </c>
      <c r="J88" t="s">
        <v>25</v>
      </c>
    </row>
    <row r="89" spans="1:10" x14ac:dyDescent="0.35">
      <c r="A89">
        <v>88</v>
      </c>
      <c r="B89" t="s">
        <v>18</v>
      </c>
      <c r="C89" t="s">
        <v>19</v>
      </c>
      <c r="D89" t="s">
        <v>20</v>
      </c>
      <c r="E89" t="s">
        <v>48</v>
      </c>
      <c r="F89" t="s">
        <v>22</v>
      </c>
      <c r="G89">
        <v>291</v>
      </c>
      <c r="H89" t="s">
        <v>33</v>
      </c>
      <c r="I89" t="s">
        <v>41</v>
      </c>
      <c r="J89" t="s">
        <v>52</v>
      </c>
    </row>
    <row r="90" spans="1:10" x14ac:dyDescent="0.35">
      <c r="A90">
        <v>89</v>
      </c>
      <c r="B90" t="s">
        <v>46</v>
      </c>
      <c r="C90" t="s">
        <v>19</v>
      </c>
      <c r="D90" t="s">
        <v>20</v>
      </c>
      <c r="E90" t="s">
        <v>59</v>
      </c>
      <c r="F90" t="s">
        <v>14</v>
      </c>
      <c r="G90">
        <v>167</v>
      </c>
      <c r="H90" t="s">
        <v>38</v>
      </c>
      <c r="I90" t="s">
        <v>41</v>
      </c>
      <c r="J90" t="s">
        <v>17</v>
      </c>
    </row>
    <row r="91" spans="1:10" x14ac:dyDescent="0.35">
      <c r="A91">
        <v>90</v>
      </c>
      <c r="B91" t="s">
        <v>46</v>
      </c>
      <c r="C91" t="s">
        <v>30</v>
      </c>
      <c r="D91" t="s">
        <v>12</v>
      </c>
      <c r="E91" t="s">
        <v>60</v>
      </c>
      <c r="F91" t="s">
        <v>14</v>
      </c>
      <c r="G91">
        <v>23</v>
      </c>
      <c r="H91" t="s">
        <v>33</v>
      </c>
      <c r="I91" t="s">
        <v>24</v>
      </c>
      <c r="J91" t="s">
        <v>42</v>
      </c>
    </row>
    <row r="92" spans="1:10" x14ac:dyDescent="0.35">
      <c r="A92">
        <v>91</v>
      </c>
      <c r="B92" t="s">
        <v>35</v>
      </c>
      <c r="C92" t="s">
        <v>26</v>
      </c>
      <c r="D92" t="s">
        <v>36</v>
      </c>
      <c r="E92" t="s">
        <v>13</v>
      </c>
      <c r="F92" t="s">
        <v>22</v>
      </c>
      <c r="G92">
        <v>178</v>
      </c>
      <c r="H92" t="s">
        <v>38</v>
      </c>
      <c r="I92" t="s">
        <v>16</v>
      </c>
      <c r="J92" t="s">
        <v>39</v>
      </c>
    </row>
    <row r="93" spans="1:10" x14ac:dyDescent="0.35">
      <c r="A93">
        <v>92</v>
      </c>
      <c r="B93" t="s">
        <v>18</v>
      </c>
      <c r="C93" t="s">
        <v>30</v>
      </c>
      <c r="D93" t="s">
        <v>27</v>
      </c>
      <c r="E93" t="s">
        <v>40</v>
      </c>
      <c r="F93" t="s">
        <v>22</v>
      </c>
      <c r="G93">
        <v>89</v>
      </c>
      <c r="H93" t="s">
        <v>33</v>
      </c>
      <c r="I93" t="s">
        <v>16</v>
      </c>
      <c r="J93" t="s">
        <v>50</v>
      </c>
    </row>
    <row r="94" spans="1:10" x14ac:dyDescent="0.35">
      <c r="A94">
        <v>93</v>
      </c>
      <c r="B94" t="s">
        <v>58</v>
      </c>
      <c r="C94" t="s">
        <v>19</v>
      </c>
      <c r="D94" t="s">
        <v>27</v>
      </c>
      <c r="E94" t="s">
        <v>21</v>
      </c>
      <c r="F94" t="s">
        <v>22</v>
      </c>
      <c r="G94">
        <v>161</v>
      </c>
      <c r="H94" t="s">
        <v>53</v>
      </c>
      <c r="I94" t="s">
        <v>24</v>
      </c>
      <c r="J94" t="s">
        <v>52</v>
      </c>
    </row>
    <row r="95" spans="1:10" x14ac:dyDescent="0.35">
      <c r="A95">
        <v>94</v>
      </c>
      <c r="B95" t="s">
        <v>58</v>
      </c>
      <c r="C95" t="s">
        <v>45</v>
      </c>
      <c r="D95" t="s">
        <v>51</v>
      </c>
      <c r="E95" t="s">
        <v>55</v>
      </c>
      <c r="F95" t="s">
        <v>32</v>
      </c>
      <c r="G95">
        <v>170</v>
      </c>
      <c r="H95" t="s">
        <v>53</v>
      </c>
      <c r="I95" t="s">
        <v>24</v>
      </c>
      <c r="J95" t="s">
        <v>43</v>
      </c>
    </row>
    <row r="96" spans="1:10" x14ac:dyDescent="0.35">
      <c r="A96">
        <v>95</v>
      </c>
      <c r="B96" t="s">
        <v>18</v>
      </c>
      <c r="C96" t="s">
        <v>47</v>
      </c>
      <c r="D96" t="s">
        <v>12</v>
      </c>
      <c r="E96" t="s">
        <v>48</v>
      </c>
      <c r="F96" t="s">
        <v>14</v>
      </c>
      <c r="G96">
        <v>109</v>
      </c>
      <c r="H96" t="s">
        <v>38</v>
      </c>
      <c r="I96" t="s">
        <v>16</v>
      </c>
      <c r="J96" t="s">
        <v>43</v>
      </c>
    </row>
    <row r="97" spans="1:10" x14ac:dyDescent="0.35">
      <c r="A97">
        <v>96</v>
      </c>
      <c r="B97" t="s">
        <v>10</v>
      </c>
      <c r="C97" t="s">
        <v>11</v>
      </c>
      <c r="D97" t="s">
        <v>12</v>
      </c>
      <c r="E97" t="s">
        <v>60</v>
      </c>
      <c r="F97" t="s">
        <v>14</v>
      </c>
      <c r="G97">
        <v>179</v>
      </c>
      <c r="H97" t="s">
        <v>53</v>
      </c>
      <c r="I97" t="s">
        <v>16</v>
      </c>
      <c r="J97" t="s">
        <v>25</v>
      </c>
    </row>
    <row r="98" spans="1:10" x14ac:dyDescent="0.35">
      <c r="A98">
        <v>97</v>
      </c>
      <c r="B98" t="s">
        <v>18</v>
      </c>
      <c r="C98" t="s">
        <v>30</v>
      </c>
      <c r="D98" t="s">
        <v>12</v>
      </c>
      <c r="E98" t="s">
        <v>60</v>
      </c>
      <c r="F98" t="s">
        <v>22</v>
      </c>
      <c r="G98">
        <v>160</v>
      </c>
      <c r="H98" t="s">
        <v>15</v>
      </c>
      <c r="I98" t="s">
        <v>16</v>
      </c>
      <c r="J98" t="s">
        <v>42</v>
      </c>
    </row>
    <row r="99" spans="1:10" x14ac:dyDescent="0.35">
      <c r="A99">
        <v>98</v>
      </c>
      <c r="B99" t="s">
        <v>10</v>
      </c>
      <c r="C99" t="s">
        <v>30</v>
      </c>
      <c r="D99" t="s">
        <v>27</v>
      </c>
      <c r="E99" t="s">
        <v>40</v>
      </c>
      <c r="F99" t="s">
        <v>14</v>
      </c>
      <c r="G99">
        <v>253</v>
      </c>
      <c r="H99" t="s">
        <v>53</v>
      </c>
      <c r="I99" t="s">
        <v>16</v>
      </c>
      <c r="J99" t="s">
        <v>39</v>
      </c>
    </row>
    <row r="100" spans="1:10" x14ac:dyDescent="0.35">
      <c r="A100">
        <v>99</v>
      </c>
      <c r="B100" t="s">
        <v>58</v>
      </c>
      <c r="C100" t="s">
        <v>11</v>
      </c>
      <c r="D100" t="s">
        <v>27</v>
      </c>
      <c r="E100" t="s">
        <v>40</v>
      </c>
      <c r="F100" t="s">
        <v>32</v>
      </c>
      <c r="G100">
        <v>30</v>
      </c>
      <c r="H100" t="s">
        <v>29</v>
      </c>
      <c r="I100" t="s">
        <v>24</v>
      </c>
      <c r="J100" t="s">
        <v>42</v>
      </c>
    </row>
    <row r="101" spans="1:10" x14ac:dyDescent="0.35">
      <c r="A101">
        <v>100</v>
      </c>
      <c r="B101" t="s">
        <v>18</v>
      </c>
      <c r="C101" t="s">
        <v>19</v>
      </c>
      <c r="D101" t="s">
        <v>12</v>
      </c>
      <c r="E101" t="s">
        <v>13</v>
      </c>
      <c r="F101" t="s">
        <v>14</v>
      </c>
      <c r="G101">
        <v>100</v>
      </c>
      <c r="H101" t="s">
        <v>38</v>
      </c>
      <c r="I101" t="s">
        <v>16</v>
      </c>
      <c r="J101" t="s">
        <v>42</v>
      </c>
    </row>
    <row r="102" spans="1:10" x14ac:dyDescent="0.35">
      <c r="A102">
        <v>101</v>
      </c>
      <c r="B102" t="s">
        <v>10</v>
      </c>
      <c r="C102" t="s">
        <v>11</v>
      </c>
      <c r="D102" t="s">
        <v>27</v>
      </c>
      <c r="E102" t="s">
        <v>40</v>
      </c>
      <c r="F102" t="s">
        <v>22</v>
      </c>
      <c r="G102">
        <v>245</v>
      </c>
      <c r="H102" t="s">
        <v>15</v>
      </c>
      <c r="I102" t="s">
        <v>41</v>
      </c>
      <c r="J102" t="s">
        <v>39</v>
      </c>
    </row>
    <row r="103" spans="1:10" x14ac:dyDescent="0.35">
      <c r="A103">
        <v>102</v>
      </c>
      <c r="B103" t="s">
        <v>44</v>
      </c>
      <c r="C103" t="s">
        <v>47</v>
      </c>
      <c r="D103" t="s">
        <v>12</v>
      </c>
      <c r="E103" t="s">
        <v>59</v>
      </c>
      <c r="F103" t="s">
        <v>22</v>
      </c>
      <c r="G103">
        <v>73</v>
      </c>
      <c r="H103" t="s">
        <v>29</v>
      </c>
      <c r="I103" t="s">
        <v>16</v>
      </c>
      <c r="J103" t="s">
        <v>17</v>
      </c>
    </row>
    <row r="104" spans="1:10" x14ac:dyDescent="0.35">
      <c r="A104">
        <v>103</v>
      </c>
      <c r="B104" t="s">
        <v>46</v>
      </c>
      <c r="C104" t="s">
        <v>45</v>
      </c>
      <c r="D104" t="s">
        <v>27</v>
      </c>
      <c r="E104" t="s">
        <v>55</v>
      </c>
      <c r="F104" t="s">
        <v>14</v>
      </c>
      <c r="G104">
        <v>242</v>
      </c>
      <c r="H104" t="s">
        <v>38</v>
      </c>
      <c r="I104" t="s">
        <v>41</v>
      </c>
      <c r="J104" t="s">
        <v>34</v>
      </c>
    </row>
    <row r="105" spans="1:10" x14ac:dyDescent="0.35">
      <c r="A105">
        <v>104</v>
      </c>
      <c r="B105" t="s">
        <v>44</v>
      </c>
      <c r="C105" t="s">
        <v>26</v>
      </c>
      <c r="D105" t="s">
        <v>12</v>
      </c>
      <c r="E105" t="s">
        <v>60</v>
      </c>
      <c r="F105" t="s">
        <v>32</v>
      </c>
      <c r="G105">
        <v>133</v>
      </c>
      <c r="H105" t="s">
        <v>33</v>
      </c>
      <c r="I105" t="s">
        <v>16</v>
      </c>
      <c r="J105" t="s">
        <v>17</v>
      </c>
    </row>
    <row r="106" spans="1:10" x14ac:dyDescent="0.35">
      <c r="A106">
        <v>105</v>
      </c>
      <c r="B106" t="s">
        <v>44</v>
      </c>
      <c r="C106" t="s">
        <v>19</v>
      </c>
      <c r="D106" t="s">
        <v>12</v>
      </c>
      <c r="E106" t="s">
        <v>31</v>
      </c>
      <c r="F106" t="s">
        <v>14</v>
      </c>
      <c r="G106">
        <v>272</v>
      </c>
      <c r="H106" t="s">
        <v>29</v>
      </c>
      <c r="I106" t="s">
        <v>16</v>
      </c>
      <c r="J106" t="s">
        <v>17</v>
      </c>
    </row>
    <row r="107" spans="1:10" x14ac:dyDescent="0.35">
      <c r="A107">
        <v>106</v>
      </c>
      <c r="B107" t="s">
        <v>10</v>
      </c>
      <c r="C107" t="s">
        <v>26</v>
      </c>
      <c r="D107" t="s">
        <v>12</v>
      </c>
      <c r="E107" t="s">
        <v>13</v>
      </c>
      <c r="F107" t="s">
        <v>32</v>
      </c>
      <c r="G107">
        <v>25</v>
      </c>
      <c r="H107" t="s">
        <v>15</v>
      </c>
      <c r="I107" t="s">
        <v>24</v>
      </c>
      <c r="J107" t="s">
        <v>17</v>
      </c>
    </row>
    <row r="108" spans="1:10" x14ac:dyDescent="0.35">
      <c r="A108">
        <v>107</v>
      </c>
      <c r="B108" t="s">
        <v>35</v>
      </c>
      <c r="C108" t="s">
        <v>19</v>
      </c>
      <c r="D108" t="s">
        <v>12</v>
      </c>
      <c r="E108" t="s">
        <v>28</v>
      </c>
      <c r="F108" t="s">
        <v>22</v>
      </c>
      <c r="G108">
        <v>101</v>
      </c>
      <c r="H108" t="s">
        <v>23</v>
      </c>
      <c r="I108" t="s">
        <v>24</v>
      </c>
      <c r="J108" t="s">
        <v>42</v>
      </c>
    </row>
    <row r="109" spans="1:10" x14ac:dyDescent="0.35">
      <c r="A109">
        <v>108</v>
      </c>
      <c r="B109" t="s">
        <v>35</v>
      </c>
      <c r="C109" t="s">
        <v>47</v>
      </c>
      <c r="D109" t="s">
        <v>36</v>
      </c>
      <c r="E109" t="s">
        <v>31</v>
      </c>
      <c r="F109" t="s">
        <v>14</v>
      </c>
      <c r="G109">
        <v>260</v>
      </c>
      <c r="H109" t="s">
        <v>15</v>
      </c>
      <c r="I109" t="s">
        <v>24</v>
      </c>
      <c r="J109" t="s">
        <v>50</v>
      </c>
    </row>
    <row r="110" spans="1:10" x14ac:dyDescent="0.35">
      <c r="A110">
        <v>109</v>
      </c>
      <c r="B110" t="s">
        <v>46</v>
      </c>
      <c r="C110" t="s">
        <v>11</v>
      </c>
      <c r="D110" t="s">
        <v>27</v>
      </c>
      <c r="E110" t="s">
        <v>55</v>
      </c>
      <c r="F110" t="s">
        <v>14</v>
      </c>
      <c r="G110">
        <v>32</v>
      </c>
      <c r="H110" t="s">
        <v>38</v>
      </c>
      <c r="I110" t="s">
        <v>24</v>
      </c>
      <c r="J110" t="s">
        <v>42</v>
      </c>
    </row>
    <row r="111" spans="1:10" x14ac:dyDescent="0.35">
      <c r="A111">
        <v>110</v>
      </c>
      <c r="B111" t="s">
        <v>58</v>
      </c>
      <c r="C111" t="s">
        <v>45</v>
      </c>
      <c r="D111" t="s">
        <v>12</v>
      </c>
      <c r="E111" t="s">
        <v>59</v>
      </c>
      <c r="F111" t="s">
        <v>32</v>
      </c>
      <c r="G111">
        <v>259</v>
      </c>
      <c r="H111" t="s">
        <v>38</v>
      </c>
      <c r="I111" t="s">
        <v>16</v>
      </c>
      <c r="J111" t="s">
        <v>56</v>
      </c>
    </row>
    <row r="112" spans="1:10" x14ac:dyDescent="0.35">
      <c r="A112">
        <v>111</v>
      </c>
      <c r="B112" t="s">
        <v>35</v>
      </c>
      <c r="C112" t="s">
        <v>11</v>
      </c>
      <c r="D112" t="s">
        <v>27</v>
      </c>
      <c r="E112" t="s">
        <v>37</v>
      </c>
      <c r="F112" t="s">
        <v>32</v>
      </c>
      <c r="G112">
        <v>111</v>
      </c>
      <c r="H112" t="s">
        <v>29</v>
      </c>
      <c r="I112" t="s">
        <v>24</v>
      </c>
      <c r="J112" t="s">
        <v>42</v>
      </c>
    </row>
    <row r="113" spans="1:10" x14ac:dyDescent="0.35">
      <c r="A113">
        <v>112</v>
      </c>
      <c r="B113" t="s">
        <v>18</v>
      </c>
      <c r="C113" t="s">
        <v>26</v>
      </c>
      <c r="D113" t="s">
        <v>27</v>
      </c>
      <c r="E113" t="s">
        <v>48</v>
      </c>
      <c r="F113" t="s">
        <v>32</v>
      </c>
      <c r="G113">
        <v>163</v>
      </c>
      <c r="H113" t="s">
        <v>29</v>
      </c>
      <c r="I113" t="s">
        <v>16</v>
      </c>
      <c r="J113" t="s">
        <v>42</v>
      </c>
    </row>
    <row r="114" spans="1:10" x14ac:dyDescent="0.35">
      <c r="A114">
        <v>113</v>
      </c>
      <c r="B114" t="s">
        <v>44</v>
      </c>
      <c r="C114" t="s">
        <v>30</v>
      </c>
      <c r="D114" t="s">
        <v>12</v>
      </c>
      <c r="E114" t="s">
        <v>48</v>
      </c>
      <c r="F114" t="s">
        <v>32</v>
      </c>
      <c r="G114">
        <v>100</v>
      </c>
      <c r="H114" t="s">
        <v>15</v>
      </c>
      <c r="I114" t="s">
        <v>41</v>
      </c>
      <c r="J114" t="s">
        <v>25</v>
      </c>
    </row>
    <row r="115" spans="1:10" x14ac:dyDescent="0.35">
      <c r="A115">
        <v>114</v>
      </c>
      <c r="B115" t="s">
        <v>46</v>
      </c>
      <c r="C115" t="s">
        <v>11</v>
      </c>
      <c r="D115" t="s">
        <v>12</v>
      </c>
      <c r="E115" t="s">
        <v>21</v>
      </c>
      <c r="F115" t="s">
        <v>14</v>
      </c>
      <c r="G115">
        <v>188</v>
      </c>
      <c r="H115" t="s">
        <v>33</v>
      </c>
      <c r="I115" t="s">
        <v>16</v>
      </c>
      <c r="J115" t="s">
        <v>52</v>
      </c>
    </row>
    <row r="116" spans="1:10" x14ac:dyDescent="0.35">
      <c r="A116">
        <v>115</v>
      </c>
      <c r="B116" t="s">
        <v>46</v>
      </c>
      <c r="C116" t="s">
        <v>26</v>
      </c>
      <c r="D116" t="s">
        <v>36</v>
      </c>
      <c r="E116" t="s">
        <v>55</v>
      </c>
      <c r="F116" t="s">
        <v>22</v>
      </c>
      <c r="G116">
        <v>260</v>
      </c>
      <c r="H116" t="s">
        <v>38</v>
      </c>
      <c r="I116" t="s">
        <v>16</v>
      </c>
      <c r="J116" t="s">
        <v>34</v>
      </c>
    </row>
    <row r="117" spans="1:10" x14ac:dyDescent="0.35">
      <c r="A117">
        <v>116</v>
      </c>
      <c r="B117" t="s">
        <v>44</v>
      </c>
      <c r="C117" t="s">
        <v>45</v>
      </c>
      <c r="D117" t="s">
        <v>27</v>
      </c>
      <c r="E117" t="s">
        <v>40</v>
      </c>
      <c r="F117" t="s">
        <v>22</v>
      </c>
      <c r="G117">
        <v>22</v>
      </c>
      <c r="H117" t="s">
        <v>15</v>
      </c>
      <c r="I117" t="s">
        <v>24</v>
      </c>
      <c r="J117" t="s">
        <v>43</v>
      </c>
    </row>
    <row r="118" spans="1:10" x14ac:dyDescent="0.35">
      <c r="A118">
        <v>117</v>
      </c>
      <c r="B118" t="s">
        <v>58</v>
      </c>
      <c r="C118" t="s">
        <v>19</v>
      </c>
      <c r="D118" t="s">
        <v>20</v>
      </c>
      <c r="E118" t="s">
        <v>55</v>
      </c>
      <c r="F118" t="s">
        <v>22</v>
      </c>
      <c r="G118">
        <v>29</v>
      </c>
      <c r="H118" t="s">
        <v>53</v>
      </c>
      <c r="I118" t="s">
        <v>16</v>
      </c>
      <c r="J118" t="s">
        <v>42</v>
      </c>
    </row>
    <row r="119" spans="1:10" x14ac:dyDescent="0.35">
      <c r="A119">
        <v>118</v>
      </c>
      <c r="B119" t="s">
        <v>44</v>
      </c>
      <c r="C119" t="s">
        <v>47</v>
      </c>
      <c r="D119" t="s">
        <v>27</v>
      </c>
      <c r="E119" t="s">
        <v>60</v>
      </c>
      <c r="F119" t="s">
        <v>32</v>
      </c>
      <c r="G119">
        <v>132</v>
      </c>
      <c r="H119" t="s">
        <v>15</v>
      </c>
      <c r="I119" t="s">
        <v>16</v>
      </c>
      <c r="J119" t="s">
        <v>50</v>
      </c>
    </row>
    <row r="120" spans="1:10" x14ac:dyDescent="0.35">
      <c r="A120">
        <v>119</v>
      </c>
      <c r="B120" t="s">
        <v>58</v>
      </c>
      <c r="C120" t="s">
        <v>26</v>
      </c>
      <c r="D120" t="s">
        <v>27</v>
      </c>
      <c r="E120" t="s">
        <v>59</v>
      </c>
      <c r="F120" t="s">
        <v>22</v>
      </c>
      <c r="G120">
        <v>140</v>
      </c>
      <c r="H120" t="s">
        <v>53</v>
      </c>
      <c r="I120" t="s">
        <v>16</v>
      </c>
      <c r="J120" t="s">
        <v>42</v>
      </c>
    </row>
    <row r="121" spans="1:10" x14ac:dyDescent="0.35">
      <c r="A121">
        <v>120</v>
      </c>
      <c r="B121" t="s">
        <v>44</v>
      </c>
      <c r="C121" t="s">
        <v>45</v>
      </c>
      <c r="D121" t="s">
        <v>27</v>
      </c>
      <c r="E121" t="s">
        <v>31</v>
      </c>
      <c r="F121" t="s">
        <v>32</v>
      </c>
      <c r="G121">
        <v>111</v>
      </c>
      <c r="H121" t="s">
        <v>23</v>
      </c>
      <c r="I121" t="s">
        <v>24</v>
      </c>
      <c r="J121" t="s">
        <v>50</v>
      </c>
    </row>
    <row r="122" spans="1:10" x14ac:dyDescent="0.35">
      <c r="A122">
        <v>121</v>
      </c>
      <c r="B122" t="s">
        <v>58</v>
      </c>
      <c r="C122" t="s">
        <v>47</v>
      </c>
      <c r="D122" t="s">
        <v>12</v>
      </c>
      <c r="E122" t="s">
        <v>28</v>
      </c>
      <c r="F122" t="s">
        <v>14</v>
      </c>
      <c r="G122">
        <v>118</v>
      </c>
      <c r="H122" t="s">
        <v>15</v>
      </c>
      <c r="I122" t="s">
        <v>24</v>
      </c>
      <c r="J122" t="s">
        <v>50</v>
      </c>
    </row>
    <row r="123" spans="1:10" x14ac:dyDescent="0.35">
      <c r="A123">
        <v>122</v>
      </c>
      <c r="B123" t="s">
        <v>10</v>
      </c>
      <c r="C123" t="s">
        <v>47</v>
      </c>
      <c r="D123" t="s">
        <v>12</v>
      </c>
      <c r="E123" t="s">
        <v>13</v>
      </c>
      <c r="F123" t="s">
        <v>32</v>
      </c>
      <c r="G123">
        <v>214</v>
      </c>
      <c r="H123" t="s">
        <v>53</v>
      </c>
      <c r="I123" t="s">
        <v>24</v>
      </c>
      <c r="J123" t="s">
        <v>49</v>
      </c>
    </row>
    <row r="124" spans="1:10" x14ac:dyDescent="0.35">
      <c r="A124">
        <v>123</v>
      </c>
      <c r="B124" t="s">
        <v>58</v>
      </c>
      <c r="C124" t="s">
        <v>45</v>
      </c>
      <c r="D124" t="s">
        <v>12</v>
      </c>
      <c r="E124" t="s">
        <v>48</v>
      </c>
      <c r="F124" t="s">
        <v>32</v>
      </c>
      <c r="G124">
        <v>288</v>
      </c>
      <c r="H124" t="s">
        <v>23</v>
      </c>
      <c r="I124" t="s">
        <v>24</v>
      </c>
      <c r="J124" t="s">
        <v>52</v>
      </c>
    </row>
    <row r="125" spans="1:10" x14ac:dyDescent="0.35">
      <c r="A125">
        <v>124</v>
      </c>
      <c r="B125" t="s">
        <v>46</v>
      </c>
      <c r="C125" t="s">
        <v>11</v>
      </c>
      <c r="D125" t="s">
        <v>51</v>
      </c>
      <c r="E125" t="s">
        <v>40</v>
      </c>
      <c r="F125" t="s">
        <v>32</v>
      </c>
      <c r="G125">
        <v>185</v>
      </c>
      <c r="H125" t="s">
        <v>23</v>
      </c>
      <c r="I125" t="s">
        <v>41</v>
      </c>
      <c r="J125" t="s">
        <v>17</v>
      </c>
    </row>
    <row r="126" spans="1:10" x14ac:dyDescent="0.35">
      <c r="A126">
        <v>125</v>
      </c>
      <c r="B126" t="s">
        <v>18</v>
      </c>
      <c r="C126" t="s">
        <v>47</v>
      </c>
      <c r="D126" t="s">
        <v>36</v>
      </c>
      <c r="E126" t="s">
        <v>31</v>
      </c>
      <c r="F126" t="s">
        <v>14</v>
      </c>
      <c r="G126">
        <v>115</v>
      </c>
      <c r="H126" t="s">
        <v>38</v>
      </c>
      <c r="I126" t="s">
        <v>24</v>
      </c>
      <c r="J126" t="s">
        <v>34</v>
      </c>
    </row>
    <row r="127" spans="1:10" x14ac:dyDescent="0.35">
      <c r="A127">
        <v>126</v>
      </c>
      <c r="B127" t="s">
        <v>44</v>
      </c>
      <c r="C127" t="s">
        <v>45</v>
      </c>
      <c r="D127" t="s">
        <v>20</v>
      </c>
      <c r="E127" t="s">
        <v>59</v>
      </c>
      <c r="F127" t="s">
        <v>14</v>
      </c>
      <c r="G127">
        <v>143</v>
      </c>
      <c r="H127" t="s">
        <v>53</v>
      </c>
      <c r="I127" t="s">
        <v>41</v>
      </c>
      <c r="J127" t="s">
        <v>25</v>
      </c>
    </row>
    <row r="128" spans="1:10" x14ac:dyDescent="0.35">
      <c r="A128">
        <v>127</v>
      </c>
      <c r="B128" t="s">
        <v>18</v>
      </c>
      <c r="C128" t="s">
        <v>47</v>
      </c>
      <c r="D128" t="s">
        <v>51</v>
      </c>
      <c r="E128" t="s">
        <v>59</v>
      </c>
      <c r="F128" t="s">
        <v>22</v>
      </c>
      <c r="G128">
        <v>175</v>
      </c>
      <c r="H128" t="s">
        <v>53</v>
      </c>
      <c r="I128" t="s">
        <v>41</v>
      </c>
      <c r="J128" t="s">
        <v>43</v>
      </c>
    </row>
    <row r="129" spans="1:10" x14ac:dyDescent="0.35">
      <c r="A129">
        <v>128</v>
      </c>
      <c r="B129" t="s">
        <v>35</v>
      </c>
      <c r="C129" t="s">
        <v>11</v>
      </c>
      <c r="D129" t="s">
        <v>20</v>
      </c>
      <c r="E129" t="s">
        <v>21</v>
      </c>
      <c r="F129" t="s">
        <v>22</v>
      </c>
      <c r="G129">
        <v>214</v>
      </c>
      <c r="H129" t="s">
        <v>53</v>
      </c>
      <c r="I129" t="s">
        <v>24</v>
      </c>
      <c r="J129" t="s">
        <v>34</v>
      </c>
    </row>
    <row r="130" spans="1:10" x14ac:dyDescent="0.35">
      <c r="A130">
        <v>129</v>
      </c>
      <c r="B130" t="s">
        <v>35</v>
      </c>
      <c r="C130" t="s">
        <v>26</v>
      </c>
      <c r="D130" t="s">
        <v>36</v>
      </c>
      <c r="E130" t="s">
        <v>13</v>
      </c>
      <c r="F130" t="s">
        <v>22</v>
      </c>
      <c r="G130">
        <v>60</v>
      </c>
      <c r="H130" t="s">
        <v>29</v>
      </c>
      <c r="I130" t="s">
        <v>24</v>
      </c>
      <c r="J130" t="s">
        <v>42</v>
      </c>
    </row>
    <row r="131" spans="1:10" x14ac:dyDescent="0.35">
      <c r="A131">
        <v>130</v>
      </c>
      <c r="B131" t="s">
        <v>44</v>
      </c>
      <c r="C131" t="s">
        <v>26</v>
      </c>
      <c r="D131" t="s">
        <v>27</v>
      </c>
      <c r="E131" t="s">
        <v>37</v>
      </c>
      <c r="F131" t="s">
        <v>14</v>
      </c>
      <c r="G131">
        <v>180</v>
      </c>
      <c r="H131" t="s">
        <v>33</v>
      </c>
      <c r="I131" t="s">
        <v>41</v>
      </c>
      <c r="J131" t="s">
        <v>49</v>
      </c>
    </row>
    <row r="132" spans="1:10" x14ac:dyDescent="0.35">
      <c r="A132">
        <v>131</v>
      </c>
      <c r="B132" t="s">
        <v>35</v>
      </c>
      <c r="C132" t="s">
        <v>11</v>
      </c>
      <c r="D132" t="s">
        <v>20</v>
      </c>
      <c r="E132" t="s">
        <v>59</v>
      </c>
      <c r="F132" t="s">
        <v>14</v>
      </c>
      <c r="G132">
        <v>214</v>
      </c>
      <c r="H132" t="s">
        <v>38</v>
      </c>
      <c r="I132" t="s">
        <v>24</v>
      </c>
      <c r="J132" t="s">
        <v>49</v>
      </c>
    </row>
    <row r="133" spans="1:10" x14ac:dyDescent="0.35">
      <c r="A133">
        <v>132</v>
      </c>
      <c r="B133" t="s">
        <v>44</v>
      </c>
      <c r="C133" t="s">
        <v>11</v>
      </c>
      <c r="D133" t="s">
        <v>12</v>
      </c>
      <c r="E133" t="s">
        <v>28</v>
      </c>
      <c r="F133" t="s">
        <v>32</v>
      </c>
      <c r="G133">
        <v>206</v>
      </c>
      <c r="H133" t="s">
        <v>33</v>
      </c>
      <c r="I133" t="s">
        <v>24</v>
      </c>
      <c r="J133" t="s">
        <v>52</v>
      </c>
    </row>
    <row r="134" spans="1:10" x14ac:dyDescent="0.35">
      <c r="A134">
        <v>133</v>
      </c>
      <c r="B134" t="s">
        <v>10</v>
      </c>
      <c r="C134" t="s">
        <v>47</v>
      </c>
      <c r="D134" t="s">
        <v>51</v>
      </c>
      <c r="E134" t="s">
        <v>55</v>
      </c>
      <c r="F134" t="s">
        <v>32</v>
      </c>
      <c r="G134">
        <v>178</v>
      </c>
      <c r="H134" t="s">
        <v>23</v>
      </c>
      <c r="I134" t="s">
        <v>16</v>
      </c>
      <c r="J134" t="s">
        <v>50</v>
      </c>
    </row>
    <row r="135" spans="1:10" x14ac:dyDescent="0.35">
      <c r="A135">
        <v>134</v>
      </c>
      <c r="B135" t="s">
        <v>46</v>
      </c>
      <c r="C135" t="s">
        <v>26</v>
      </c>
      <c r="D135" t="s">
        <v>20</v>
      </c>
      <c r="E135" t="s">
        <v>13</v>
      </c>
      <c r="F135" t="s">
        <v>14</v>
      </c>
      <c r="G135">
        <v>155</v>
      </c>
      <c r="H135" t="s">
        <v>29</v>
      </c>
      <c r="I135" t="s">
        <v>24</v>
      </c>
      <c r="J135" t="s">
        <v>57</v>
      </c>
    </row>
    <row r="136" spans="1:10" x14ac:dyDescent="0.35">
      <c r="A136">
        <v>135</v>
      </c>
      <c r="B136" t="s">
        <v>10</v>
      </c>
      <c r="C136" t="s">
        <v>26</v>
      </c>
      <c r="D136" t="s">
        <v>51</v>
      </c>
      <c r="E136" t="s">
        <v>48</v>
      </c>
      <c r="F136" t="s">
        <v>32</v>
      </c>
      <c r="G136">
        <v>194</v>
      </c>
      <c r="H136" t="s">
        <v>29</v>
      </c>
      <c r="I136" t="s">
        <v>41</v>
      </c>
      <c r="J136" t="s">
        <v>42</v>
      </c>
    </row>
    <row r="137" spans="1:10" x14ac:dyDescent="0.35">
      <c r="A137">
        <v>136</v>
      </c>
      <c r="B137" t="s">
        <v>10</v>
      </c>
      <c r="C137" t="s">
        <v>45</v>
      </c>
      <c r="D137" t="s">
        <v>27</v>
      </c>
      <c r="E137" t="s">
        <v>59</v>
      </c>
      <c r="F137" t="s">
        <v>22</v>
      </c>
      <c r="G137">
        <v>244</v>
      </c>
      <c r="H137" t="s">
        <v>33</v>
      </c>
      <c r="I137" t="s">
        <v>41</v>
      </c>
      <c r="J137" t="s">
        <v>17</v>
      </c>
    </row>
    <row r="138" spans="1:10" x14ac:dyDescent="0.35">
      <c r="A138">
        <v>137</v>
      </c>
      <c r="B138" t="s">
        <v>46</v>
      </c>
      <c r="C138" t="s">
        <v>26</v>
      </c>
      <c r="D138" t="s">
        <v>51</v>
      </c>
      <c r="E138" t="s">
        <v>37</v>
      </c>
      <c r="F138" t="s">
        <v>14</v>
      </c>
      <c r="G138">
        <v>257</v>
      </c>
      <c r="H138" t="s">
        <v>33</v>
      </c>
      <c r="I138" t="s">
        <v>16</v>
      </c>
      <c r="J138" t="s">
        <v>43</v>
      </c>
    </row>
    <row r="139" spans="1:10" x14ac:dyDescent="0.35">
      <c r="A139">
        <v>138</v>
      </c>
      <c r="B139" t="s">
        <v>18</v>
      </c>
      <c r="C139" t="s">
        <v>19</v>
      </c>
      <c r="D139" t="s">
        <v>27</v>
      </c>
      <c r="E139" t="s">
        <v>37</v>
      </c>
      <c r="F139" t="s">
        <v>14</v>
      </c>
      <c r="G139">
        <v>160</v>
      </c>
      <c r="H139" t="s">
        <v>33</v>
      </c>
      <c r="I139" t="s">
        <v>41</v>
      </c>
      <c r="J139" t="s">
        <v>39</v>
      </c>
    </row>
    <row r="140" spans="1:10" x14ac:dyDescent="0.35">
      <c r="A140">
        <v>139</v>
      </c>
      <c r="B140" t="s">
        <v>10</v>
      </c>
      <c r="C140" t="s">
        <v>11</v>
      </c>
      <c r="D140" t="s">
        <v>12</v>
      </c>
      <c r="E140" t="s">
        <v>21</v>
      </c>
      <c r="F140" t="s">
        <v>14</v>
      </c>
      <c r="G140">
        <v>133</v>
      </c>
      <c r="H140" t="s">
        <v>29</v>
      </c>
      <c r="I140" t="s">
        <v>24</v>
      </c>
      <c r="J140" t="s">
        <v>54</v>
      </c>
    </row>
    <row r="141" spans="1:10" x14ac:dyDescent="0.35">
      <c r="A141">
        <v>140</v>
      </c>
      <c r="B141" t="s">
        <v>35</v>
      </c>
      <c r="C141" t="s">
        <v>45</v>
      </c>
      <c r="D141" t="s">
        <v>20</v>
      </c>
      <c r="E141" t="s">
        <v>40</v>
      </c>
      <c r="F141" t="s">
        <v>22</v>
      </c>
      <c r="G141">
        <v>186</v>
      </c>
      <c r="H141" t="s">
        <v>15</v>
      </c>
      <c r="I141" t="s">
        <v>24</v>
      </c>
      <c r="J141" t="s">
        <v>56</v>
      </c>
    </row>
    <row r="142" spans="1:10" x14ac:dyDescent="0.35">
      <c r="A142">
        <v>141</v>
      </c>
      <c r="B142" t="s">
        <v>44</v>
      </c>
      <c r="C142" t="s">
        <v>45</v>
      </c>
      <c r="D142" t="s">
        <v>12</v>
      </c>
      <c r="E142" t="s">
        <v>40</v>
      </c>
      <c r="F142" t="s">
        <v>14</v>
      </c>
      <c r="G142">
        <v>133</v>
      </c>
      <c r="H142" t="s">
        <v>53</v>
      </c>
      <c r="I142" t="s">
        <v>16</v>
      </c>
      <c r="J142" t="s">
        <v>42</v>
      </c>
    </row>
    <row r="143" spans="1:10" x14ac:dyDescent="0.35">
      <c r="A143">
        <v>142</v>
      </c>
      <c r="B143" t="s">
        <v>18</v>
      </c>
      <c r="C143" t="s">
        <v>47</v>
      </c>
      <c r="D143" t="s">
        <v>36</v>
      </c>
      <c r="E143" t="s">
        <v>40</v>
      </c>
      <c r="F143" t="s">
        <v>14</v>
      </c>
      <c r="G143">
        <v>278</v>
      </c>
      <c r="H143" t="s">
        <v>38</v>
      </c>
      <c r="I143" t="s">
        <v>24</v>
      </c>
      <c r="J143" t="s">
        <v>25</v>
      </c>
    </row>
    <row r="144" spans="1:10" x14ac:dyDescent="0.35">
      <c r="A144">
        <v>143</v>
      </c>
      <c r="B144" t="s">
        <v>18</v>
      </c>
      <c r="C144" t="s">
        <v>26</v>
      </c>
      <c r="D144" t="s">
        <v>36</v>
      </c>
      <c r="E144" t="s">
        <v>60</v>
      </c>
      <c r="F144" t="s">
        <v>22</v>
      </c>
      <c r="G144">
        <v>174</v>
      </c>
      <c r="H144" t="s">
        <v>15</v>
      </c>
      <c r="I144" t="s">
        <v>41</v>
      </c>
      <c r="J144" t="s">
        <v>50</v>
      </c>
    </row>
    <row r="145" spans="1:10" x14ac:dyDescent="0.35">
      <c r="A145">
        <v>144</v>
      </c>
      <c r="B145" t="s">
        <v>10</v>
      </c>
      <c r="C145" t="s">
        <v>45</v>
      </c>
      <c r="D145" t="s">
        <v>20</v>
      </c>
      <c r="E145" t="s">
        <v>28</v>
      </c>
      <c r="F145" t="s">
        <v>14</v>
      </c>
      <c r="G145">
        <v>79</v>
      </c>
      <c r="H145" t="s">
        <v>23</v>
      </c>
      <c r="I145" t="s">
        <v>16</v>
      </c>
      <c r="J145" t="s">
        <v>34</v>
      </c>
    </row>
    <row r="146" spans="1:10" x14ac:dyDescent="0.35">
      <c r="A146">
        <v>145</v>
      </c>
      <c r="B146" t="s">
        <v>44</v>
      </c>
      <c r="C146" t="s">
        <v>19</v>
      </c>
      <c r="D146" t="s">
        <v>12</v>
      </c>
      <c r="E146" t="s">
        <v>21</v>
      </c>
      <c r="F146" t="s">
        <v>32</v>
      </c>
      <c r="G146">
        <v>255</v>
      </c>
      <c r="H146" t="s">
        <v>29</v>
      </c>
      <c r="I146" t="s">
        <v>41</v>
      </c>
      <c r="J146" t="s">
        <v>34</v>
      </c>
    </row>
    <row r="147" spans="1:10" x14ac:dyDescent="0.35">
      <c r="A147">
        <v>146</v>
      </c>
      <c r="B147" t="s">
        <v>58</v>
      </c>
      <c r="C147" t="s">
        <v>47</v>
      </c>
      <c r="D147" t="s">
        <v>27</v>
      </c>
      <c r="E147" t="s">
        <v>48</v>
      </c>
      <c r="F147" t="s">
        <v>32</v>
      </c>
      <c r="G147">
        <v>117</v>
      </c>
      <c r="H147" t="s">
        <v>53</v>
      </c>
      <c r="I147" t="s">
        <v>24</v>
      </c>
      <c r="J147" t="s">
        <v>54</v>
      </c>
    </row>
    <row r="148" spans="1:10" x14ac:dyDescent="0.35">
      <c r="A148">
        <v>147</v>
      </c>
      <c r="B148" t="s">
        <v>58</v>
      </c>
      <c r="C148" t="s">
        <v>47</v>
      </c>
      <c r="D148" t="s">
        <v>51</v>
      </c>
      <c r="E148" t="s">
        <v>59</v>
      </c>
      <c r="F148" t="s">
        <v>32</v>
      </c>
      <c r="G148">
        <v>142</v>
      </c>
      <c r="H148" t="s">
        <v>38</v>
      </c>
      <c r="I148" t="s">
        <v>24</v>
      </c>
      <c r="J148" t="s">
        <v>49</v>
      </c>
    </row>
    <row r="149" spans="1:10" x14ac:dyDescent="0.35">
      <c r="A149">
        <v>148</v>
      </c>
      <c r="B149" t="s">
        <v>44</v>
      </c>
      <c r="C149" t="s">
        <v>45</v>
      </c>
      <c r="D149" t="s">
        <v>20</v>
      </c>
      <c r="E149" t="s">
        <v>28</v>
      </c>
      <c r="F149" t="s">
        <v>22</v>
      </c>
      <c r="G149">
        <v>73</v>
      </c>
      <c r="H149" t="s">
        <v>29</v>
      </c>
      <c r="I149" t="s">
        <v>24</v>
      </c>
      <c r="J149" t="s">
        <v>52</v>
      </c>
    </row>
    <row r="150" spans="1:10" x14ac:dyDescent="0.35">
      <c r="A150">
        <v>149</v>
      </c>
      <c r="B150" t="s">
        <v>58</v>
      </c>
      <c r="C150" t="s">
        <v>47</v>
      </c>
      <c r="D150" t="s">
        <v>36</v>
      </c>
      <c r="E150" t="s">
        <v>21</v>
      </c>
      <c r="F150" t="s">
        <v>22</v>
      </c>
      <c r="G150">
        <v>240</v>
      </c>
      <c r="H150" t="s">
        <v>33</v>
      </c>
      <c r="I150" t="s">
        <v>41</v>
      </c>
      <c r="J150" t="s">
        <v>54</v>
      </c>
    </row>
    <row r="151" spans="1:10" x14ac:dyDescent="0.35">
      <c r="A151">
        <v>150</v>
      </c>
      <c r="B151" t="s">
        <v>46</v>
      </c>
      <c r="C151" t="s">
        <v>26</v>
      </c>
      <c r="D151" t="s">
        <v>36</v>
      </c>
      <c r="E151" t="s">
        <v>37</v>
      </c>
      <c r="F151" t="s">
        <v>32</v>
      </c>
      <c r="G151">
        <v>61</v>
      </c>
      <c r="H151" t="s">
        <v>53</v>
      </c>
      <c r="I151" t="s">
        <v>41</v>
      </c>
      <c r="J151" t="s">
        <v>34</v>
      </c>
    </row>
    <row r="152" spans="1:10" x14ac:dyDescent="0.35">
      <c r="A152">
        <v>151</v>
      </c>
      <c r="B152" t="s">
        <v>58</v>
      </c>
      <c r="C152" t="s">
        <v>45</v>
      </c>
      <c r="D152" t="s">
        <v>12</v>
      </c>
      <c r="E152" t="s">
        <v>59</v>
      </c>
      <c r="F152" t="s">
        <v>22</v>
      </c>
      <c r="G152">
        <v>277</v>
      </c>
      <c r="H152" t="s">
        <v>29</v>
      </c>
      <c r="I152" t="s">
        <v>41</v>
      </c>
      <c r="J152" t="s">
        <v>17</v>
      </c>
    </row>
    <row r="153" spans="1:10" x14ac:dyDescent="0.35">
      <c r="A153">
        <v>152</v>
      </c>
      <c r="B153" t="s">
        <v>44</v>
      </c>
      <c r="C153" t="s">
        <v>45</v>
      </c>
      <c r="D153" t="s">
        <v>27</v>
      </c>
      <c r="E153" t="s">
        <v>28</v>
      </c>
      <c r="F153" t="s">
        <v>32</v>
      </c>
      <c r="G153">
        <v>286</v>
      </c>
      <c r="H153" t="s">
        <v>29</v>
      </c>
      <c r="I153" t="s">
        <v>16</v>
      </c>
      <c r="J153" t="s">
        <v>50</v>
      </c>
    </row>
    <row r="154" spans="1:10" x14ac:dyDescent="0.35">
      <c r="A154">
        <v>153</v>
      </c>
      <c r="B154" t="s">
        <v>18</v>
      </c>
      <c r="C154" t="s">
        <v>19</v>
      </c>
      <c r="D154" t="s">
        <v>27</v>
      </c>
      <c r="E154" t="s">
        <v>13</v>
      </c>
      <c r="F154" t="s">
        <v>14</v>
      </c>
      <c r="G154">
        <v>207</v>
      </c>
      <c r="H154" t="s">
        <v>23</v>
      </c>
      <c r="I154" t="s">
        <v>24</v>
      </c>
      <c r="J154" t="s">
        <v>56</v>
      </c>
    </row>
    <row r="155" spans="1:10" x14ac:dyDescent="0.35">
      <c r="A155">
        <v>154</v>
      </c>
      <c r="B155" t="s">
        <v>46</v>
      </c>
      <c r="C155" t="s">
        <v>26</v>
      </c>
      <c r="D155" t="s">
        <v>20</v>
      </c>
      <c r="E155" t="s">
        <v>55</v>
      </c>
      <c r="F155" t="s">
        <v>32</v>
      </c>
      <c r="G155">
        <v>134</v>
      </c>
      <c r="H155" t="s">
        <v>53</v>
      </c>
      <c r="I155" t="s">
        <v>16</v>
      </c>
      <c r="J155" t="s">
        <v>39</v>
      </c>
    </row>
    <row r="156" spans="1:10" x14ac:dyDescent="0.35">
      <c r="A156">
        <v>155</v>
      </c>
      <c r="B156" t="s">
        <v>58</v>
      </c>
      <c r="C156" t="s">
        <v>19</v>
      </c>
      <c r="D156" t="s">
        <v>51</v>
      </c>
      <c r="E156" t="s">
        <v>31</v>
      </c>
      <c r="F156" t="s">
        <v>22</v>
      </c>
      <c r="G156">
        <v>112</v>
      </c>
      <c r="H156" t="s">
        <v>23</v>
      </c>
      <c r="I156" t="s">
        <v>41</v>
      </c>
      <c r="J156" t="s">
        <v>49</v>
      </c>
    </row>
    <row r="157" spans="1:10" x14ac:dyDescent="0.35">
      <c r="A157">
        <v>156</v>
      </c>
      <c r="B157" t="s">
        <v>10</v>
      </c>
      <c r="C157" t="s">
        <v>11</v>
      </c>
      <c r="D157" t="s">
        <v>51</v>
      </c>
      <c r="E157" t="s">
        <v>31</v>
      </c>
      <c r="F157" t="s">
        <v>22</v>
      </c>
      <c r="G157">
        <v>215</v>
      </c>
      <c r="H157" t="s">
        <v>15</v>
      </c>
      <c r="I157" t="s">
        <v>41</v>
      </c>
      <c r="J157" t="s">
        <v>54</v>
      </c>
    </row>
    <row r="158" spans="1:10" x14ac:dyDescent="0.35">
      <c r="A158">
        <v>157</v>
      </c>
      <c r="B158" t="s">
        <v>18</v>
      </c>
      <c r="C158" t="s">
        <v>26</v>
      </c>
      <c r="D158" t="s">
        <v>12</v>
      </c>
      <c r="E158" t="s">
        <v>40</v>
      </c>
      <c r="F158" t="s">
        <v>32</v>
      </c>
      <c r="G158">
        <v>167</v>
      </c>
      <c r="H158" t="s">
        <v>38</v>
      </c>
      <c r="I158" t="s">
        <v>16</v>
      </c>
      <c r="J158" t="s">
        <v>56</v>
      </c>
    </row>
    <row r="159" spans="1:10" x14ac:dyDescent="0.35">
      <c r="A159">
        <v>158</v>
      </c>
      <c r="B159" t="s">
        <v>10</v>
      </c>
      <c r="C159" t="s">
        <v>30</v>
      </c>
      <c r="D159" t="s">
        <v>51</v>
      </c>
      <c r="E159" t="s">
        <v>31</v>
      </c>
      <c r="F159" t="s">
        <v>32</v>
      </c>
      <c r="G159">
        <v>48</v>
      </c>
      <c r="H159" t="s">
        <v>23</v>
      </c>
      <c r="I159" t="s">
        <v>41</v>
      </c>
      <c r="J159" t="s">
        <v>56</v>
      </c>
    </row>
    <row r="160" spans="1:10" x14ac:dyDescent="0.35">
      <c r="A160">
        <v>159</v>
      </c>
      <c r="B160" t="s">
        <v>46</v>
      </c>
      <c r="C160" t="s">
        <v>19</v>
      </c>
      <c r="D160" t="s">
        <v>20</v>
      </c>
      <c r="E160" t="s">
        <v>37</v>
      </c>
      <c r="F160" t="s">
        <v>22</v>
      </c>
      <c r="G160">
        <v>152</v>
      </c>
      <c r="H160" t="s">
        <v>23</v>
      </c>
      <c r="I160" t="s">
        <v>41</v>
      </c>
      <c r="J160" t="s">
        <v>39</v>
      </c>
    </row>
    <row r="161" spans="1:10" x14ac:dyDescent="0.35">
      <c r="A161">
        <v>160</v>
      </c>
      <c r="B161" t="s">
        <v>18</v>
      </c>
      <c r="C161" t="s">
        <v>47</v>
      </c>
      <c r="D161" t="s">
        <v>12</v>
      </c>
      <c r="E161" t="s">
        <v>31</v>
      </c>
      <c r="F161" t="s">
        <v>14</v>
      </c>
      <c r="G161">
        <v>263</v>
      </c>
      <c r="H161" t="s">
        <v>23</v>
      </c>
      <c r="I161" t="s">
        <v>24</v>
      </c>
      <c r="J161" t="s">
        <v>56</v>
      </c>
    </row>
    <row r="162" spans="1:10" x14ac:dyDescent="0.35">
      <c r="A162">
        <v>161</v>
      </c>
      <c r="B162" t="s">
        <v>44</v>
      </c>
      <c r="C162" t="s">
        <v>30</v>
      </c>
      <c r="D162" t="s">
        <v>12</v>
      </c>
      <c r="E162" t="s">
        <v>60</v>
      </c>
      <c r="F162" t="s">
        <v>32</v>
      </c>
      <c r="G162">
        <v>154</v>
      </c>
      <c r="H162" t="s">
        <v>29</v>
      </c>
      <c r="I162" t="s">
        <v>41</v>
      </c>
      <c r="J162" t="s">
        <v>49</v>
      </c>
    </row>
    <row r="163" spans="1:10" x14ac:dyDescent="0.35">
      <c r="A163">
        <v>162</v>
      </c>
      <c r="B163" t="s">
        <v>18</v>
      </c>
      <c r="C163" t="s">
        <v>30</v>
      </c>
      <c r="D163" t="s">
        <v>27</v>
      </c>
      <c r="E163" t="s">
        <v>28</v>
      </c>
      <c r="F163" t="s">
        <v>22</v>
      </c>
      <c r="G163">
        <v>86</v>
      </c>
      <c r="H163" t="s">
        <v>23</v>
      </c>
      <c r="I163" t="s">
        <v>16</v>
      </c>
      <c r="J163" t="s">
        <v>25</v>
      </c>
    </row>
    <row r="164" spans="1:10" x14ac:dyDescent="0.35">
      <c r="A164">
        <v>163</v>
      </c>
      <c r="B164" t="s">
        <v>18</v>
      </c>
      <c r="C164" t="s">
        <v>19</v>
      </c>
      <c r="D164" t="s">
        <v>12</v>
      </c>
      <c r="E164" t="s">
        <v>13</v>
      </c>
      <c r="F164" t="s">
        <v>32</v>
      </c>
      <c r="G164">
        <v>140</v>
      </c>
      <c r="H164" t="s">
        <v>53</v>
      </c>
      <c r="I164" t="s">
        <v>41</v>
      </c>
      <c r="J164" t="s">
        <v>43</v>
      </c>
    </row>
    <row r="165" spans="1:10" x14ac:dyDescent="0.35">
      <c r="A165">
        <v>164</v>
      </c>
      <c r="B165" t="s">
        <v>35</v>
      </c>
      <c r="C165" t="s">
        <v>45</v>
      </c>
      <c r="D165" t="s">
        <v>12</v>
      </c>
      <c r="E165" t="s">
        <v>31</v>
      </c>
      <c r="F165" t="s">
        <v>22</v>
      </c>
      <c r="G165">
        <v>259</v>
      </c>
      <c r="H165" t="s">
        <v>23</v>
      </c>
      <c r="I165" t="s">
        <v>41</v>
      </c>
      <c r="J165" t="s">
        <v>34</v>
      </c>
    </row>
    <row r="166" spans="1:10" x14ac:dyDescent="0.35">
      <c r="A166">
        <v>165</v>
      </c>
      <c r="B166" t="s">
        <v>46</v>
      </c>
      <c r="C166" t="s">
        <v>19</v>
      </c>
      <c r="D166" t="s">
        <v>20</v>
      </c>
      <c r="E166" t="s">
        <v>13</v>
      </c>
      <c r="F166" t="s">
        <v>14</v>
      </c>
      <c r="G166">
        <v>194</v>
      </c>
      <c r="H166" t="s">
        <v>38</v>
      </c>
      <c r="I166" t="s">
        <v>16</v>
      </c>
      <c r="J166" t="s">
        <v>25</v>
      </c>
    </row>
    <row r="167" spans="1:10" x14ac:dyDescent="0.35">
      <c r="A167">
        <v>166</v>
      </c>
      <c r="B167" t="s">
        <v>44</v>
      </c>
      <c r="C167" t="s">
        <v>47</v>
      </c>
      <c r="D167" t="s">
        <v>51</v>
      </c>
      <c r="E167" t="s">
        <v>37</v>
      </c>
      <c r="F167" t="s">
        <v>32</v>
      </c>
      <c r="G167">
        <v>33</v>
      </c>
      <c r="H167" t="s">
        <v>23</v>
      </c>
      <c r="I167" t="s">
        <v>41</v>
      </c>
      <c r="J167" t="s">
        <v>39</v>
      </c>
    </row>
    <row r="168" spans="1:10" x14ac:dyDescent="0.35">
      <c r="A168">
        <v>167</v>
      </c>
      <c r="B168" t="s">
        <v>58</v>
      </c>
      <c r="C168" t="s">
        <v>45</v>
      </c>
      <c r="D168" t="s">
        <v>27</v>
      </c>
      <c r="E168" t="s">
        <v>37</v>
      </c>
      <c r="F168" t="s">
        <v>32</v>
      </c>
      <c r="G168">
        <v>165</v>
      </c>
      <c r="H168" t="s">
        <v>15</v>
      </c>
      <c r="I168" t="s">
        <v>41</v>
      </c>
      <c r="J168" t="s">
        <v>54</v>
      </c>
    </row>
    <row r="169" spans="1:10" x14ac:dyDescent="0.35">
      <c r="A169">
        <v>168</v>
      </c>
      <c r="B169" t="s">
        <v>58</v>
      </c>
      <c r="C169" t="s">
        <v>47</v>
      </c>
      <c r="D169" t="s">
        <v>20</v>
      </c>
      <c r="E169" t="s">
        <v>55</v>
      </c>
      <c r="F169" t="s">
        <v>14</v>
      </c>
      <c r="G169">
        <v>42</v>
      </c>
      <c r="H169" t="s">
        <v>33</v>
      </c>
      <c r="I169" t="s">
        <v>41</v>
      </c>
      <c r="J169" t="s">
        <v>50</v>
      </c>
    </row>
    <row r="170" spans="1:10" x14ac:dyDescent="0.35">
      <c r="A170">
        <v>169</v>
      </c>
      <c r="B170" t="s">
        <v>58</v>
      </c>
      <c r="C170" t="s">
        <v>47</v>
      </c>
      <c r="D170" t="s">
        <v>12</v>
      </c>
      <c r="E170" t="s">
        <v>21</v>
      </c>
      <c r="F170" t="s">
        <v>22</v>
      </c>
      <c r="G170">
        <v>110</v>
      </c>
      <c r="H170" t="s">
        <v>15</v>
      </c>
      <c r="I170" t="s">
        <v>16</v>
      </c>
      <c r="J170" t="s">
        <v>54</v>
      </c>
    </row>
    <row r="171" spans="1:10" x14ac:dyDescent="0.35">
      <c r="A171">
        <v>170</v>
      </c>
      <c r="B171" t="s">
        <v>44</v>
      </c>
      <c r="C171" t="s">
        <v>26</v>
      </c>
      <c r="D171" t="s">
        <v>12</v>
      </c>
      <c r="E171" t="s">
        <v>55</v>
      </c>
      <c r="F171" t="s">
        <v>32</v>
      </c>
      <c r="G171">
        <v>198</v>
      </c>
      <c r="H171" t="s">
        <v>15</v>
      </c>
      <c r="I171" t="s">
        <v>41</v>
      </c>
      <c r="J171" t="s">
        <v>42</v>
      </c>
    </row>
    <row r="172" spans="1:10" x14ac:dyDescent="0.35">
      <c r="A172">
        <v>171</v>
      </c>
      <c r="B172" t="s">
        <v>18</v>
      </c>
      <c r="C172" t="s">
        <v>30</v>
      </c>
      <c r="D172" t="s">
        <v>51</v>
      </c>
      <c r="E172" t="s">
        <v>48</v>
      </c>
      <c r="F172" t="s">
        <v>32</v>
      </c>
      <c r="G172">
        <v>22</v>
      </c>
      <c r="H172" t="s">
        <v>23</v>
      </c>
      <c r="I172" t="s">
        <v>41</v>
      </c>
      <c r="J172" t="s">
        <v>54</v>
      </c>
    </row>
    <row r="173" spans="1:10" x14ac:dyDescent="0.35">
      <c r="A173">
        <v>172</v>
      </c>
      <c r="B173" t="s">
        <v>46</v>
      </c>
      <c r="C173" t="s">
        <v>30</v>
      </c>
      <c r="D173" t="s">
        <v>36</v>
      </c>
      <c r="E173" t="s">
        <v>37</v>
      </c>
      <c r="F173" t="s">
        <v>32</v>
      </c>
      <c r="G173">
        <v>281</v>
      </c>
      <c r="H173" t="s">
        <v>53</v>
      </c>
      <c r="I173" t="s">
        <v>16</v>
      </c>
      <c r="J173" t="s">
        <v>56</v>
      </c>
    </row>
    <row r="174" spans="1:10" x14ac:dyDescent="0.35">
      <c r="A174">
        <v>173</v>
      </c>
      <c r="B174" t="s">
        <v>46</v>
      </c>
      <c r="C174" t="s">
        <v>47</v>
      </c>
      <c r="D174" t="s">
        <v>27</v>
      </c>
      <c r="E174" t="s">
        <v>21</v>
      </c>
      <c r="F174" t="s">
        <v>32</v>
      </c>
      <c r="G174">
        <v>34</v>
      </c>
      <c r="H174" t="s">
        <v>15</v>
      </c>
      <c r="I174" t="s">
        <v>16</v>
      </c>
      <c r="J174" t="s">
        <v>43</v>
      </c>
    </row>
    <row r="175" spans="1:10" x14ac:dyDescent="0.35">
      <c r="A175">
        <v>174</v>
      </c>
      <c r="B175" t="s">
        <v>44</v>
      </c>
      <c r="C175" t="s">
        <v>26</v>
      </c>
      <c r="D175" t="s">
        <v>36</v>
      </c>
      <c r="E175" t="s">
        <v>21</v>
      </c>
      <c r="F175" t="s">
        <v>32</v>
      </c>
      <c r="G175">
        <v>180</v>
      </c>
      <c r="H175" t="s">
        <v>53</v>
      </c>
      <c r="I175" t="s">
        <v>16</v>
      </c>
      <c r="J175" t="s">
        <v>17</v>
      </c>
    </row>
    <row r="176" spans="1:10" x14ac:dyDescent="0.35">
      <c r="A176">
        <v>175</v>
      </c>
      <c r="B176" t="s">
        <v>18</v>
      </c>
      <c r="C176" t="s">
        <v>47</v>
      </c>
      <c r="D176" t="s">
        <v>36</v>
      </c>
      <c r="E176" t="s">
        <v>59</v>
      </c>
      <c r="F176" t="s">
        <v>32</v>
      </c>
      <c r="G176">
        <v>300</v>
      </c>
      <c r="H176" t="s">
        <v>15</v>
      </c>
      <c r="I176" t="s">
        <v>24</v>
      </c>
      <c r="J176" t="s">
        <v>54</v>
      </c>
    </row>
    <row r="177" spans="1:10" x14ac:dyDescent="0.35">
      <c r="A177">
        <v>176</v>
      </c>
      <c r="B177" t="s">
        <v>18</v>
      </c>
      <c r="C177" t="s">
        <v>45</v>
      </c>
      <c r="D177" t="s">
        <v>27</v>
      </c>
      <c r="E177" t="s">
        <v>60</v>
      </c>
      <c r="F177" t="s">
        <v>32</v>
      </c>
      <c r="G177">
        <v>142</v>
      </c>
      <c r="H177" t="s">
        <v>53</v>
      </c>
      <c r="I177" t="s">
        <v>41</v>
      </c>
      <c r="J177" t="s">
        <v>43</v>
      </c>
    </row>
    <row r="178" spans="1:10" x14ac:dyDescent="0.35">
      <c r="A178">
        <v>177</v>
      </c>
      <c r="B178" t="s">
        <v>46</v>
      </c>
      <c r="C178" t="s">
        <v>45</v>
      </c>
      <c r="D178" t="s">
        <v>51</v>
      </c>
      <c r="E178" t="s">
        <v>59</v>
      </c>
      <c r="F178" t="s">
        <v>14</v>
      </c>
      <c r="G178">
        <v>260</v>
      </c>
      <c r="H178" t="s">
        <v>38</v>
      </c>
      <c r="I178" t="s">
        <v>16</v>
      </c>
      <c r="J178" t="s">
        <v>49</v>
      </c>
    </row>
    <row r="179" spans="1:10" x14ac:dyDescent="0.35">
      <c r="A179">
        <v>178</v>
      </c>
      <c r="B179" t="s">
        <v>46</v>
      </c>
      <c r="C179" t="s">
        <v>19</v>
      </c>
      <c r="D179" t="s">
        <v>51</v>
      </c>
      <c r="E179" t="s">
        <v>48</v>
      </c>
      <c r="F179" t="s">
        <v>32</v>
      </c>
      <c r="G179">
        <v>235</v>
      </c>
      <c r="H179" t="s">
        <v>33</v>
      </c>
      <c r="I179" t="s">
        <v>16</v>
      </c>
      <c r="J179" t="s">
        <v>56</v>
      </c>
    </row>
    <row r="180" spans="1:10" x14ac:dyDescent="0.35">
      <c r="A180">
        <v>179</v>
      </c>
      <c r="B180" t="s">
        <v>46</v>
      </c>
      <c r="C180" t="s">
        <v>47</v>
      </c>
      <c r="D180" t="s">
        <v>20</v>
      </c>
      <c r="E180" t="s">
        <v>28</v>
      </c>
      <c r="F180" t="s">
        <v>14</v>
      </c>
      <c r="G180">
        <v>143</v>
      </c>
      <c r="H180" t="s">
        <v>29</v>
      </c>
      <c r="I180" t="s">
        <v>16</v>
      </c>
      <c r="J180" t="s">
        <v>54</v>
      </c>
    </row>
    <row r="181" spans="1:10" x14ac:dyDescent="0.35">
      <c r="A181">
        <v>180</v>
      </c>
      <c r="B181" t="s">
        <v>44</v>
      </c>
      <c r="C181" t="s">
        <v>26</v>
      </c>
      <c r="D181" t="s">
        <v>36</v>
      </c>
      <c r="E181" t="s">
        <v>21</v>
      </c>
      <c r="F181" t="s">
        <v>14</v>
      </c>
      <c r="G181">
        <v>156</v>
      </c>
      <c r="H181" t="s">
        <v>33</v>
      </c>
      <c r="I181" t="s">
        <v>24</v>
      </c>
      <c r="J181" t="s">
        <v>43</v>
      </c>
    </row>
    <row r="182" spans="1:10" x14ac:dyDescent="0.35">
      <c r="A182">
        <v>181</v>
      </c>
      <c r="B182" t="s">
        <v>18</v>
      </c>
      <c r="C182" t="s">
        <v>47</v>
      </c>
      <c r="D182" t="s">
        <v>27</v>
      </c>
      <c r="E182" t="s">
        <v>31</v>
      </c>
      <c r="F182" t="s">
        <v>22</v>
      </c>
      <c r="G182">
        <v>99</v>
      </c>
      <c r="H182" t="s">
        <v>15</v>
      </c>
      <c r="I182" t="s">
        <v>16</v>
      </c>
      <c r="J182" t="s">
        <v>49</v>
      </c>
    </row>
    <row r="183" spans="1:10" x14ac:dyDescent="0.35">
      <c r="A183">
        <v>182</v>
      </c>
      <c r="B183" t="s">
        <v>10</v>
      </c>
      <c r="C183" t="s">
        <v>11</v>
      </c>
      <c r="D183" t="s">
        <v>51</v>
      </c>
      <c r="E183" t="s">
        <v>37</v>
      </c>
      <c r="F183" t="s">
        <v>32</v>
      </c>
      <c r="G183">
        <v>114</v>
      </c>
      <c r="H183" t="s">
        <v>53</v>
      </c>
      <c r="I183" t="s">
        <v>16</v>
      </c>
      <c r="J183" t="s">
        <v>17</v>
      </c>
    </row>
    <row r="184" spans="1:10" x14ac:dyDescent="0.35">
      <c r="A184">
        <v>183</v>
      </c>
      <c r="B184" t="s">
        <v>46</v>
      </c>
      <c r="C184" t="s">
        <v>11</v>
      </c>
      <c r="D184" t="s">
        <v>12</v>
      </c>
      <c r="E184" t="s">
        <v>48</v>
      </c>
      <c r="F184" t="s">
        <v>22</v>
      </c>
      <c r="G184">
        <v>298</v>
      </c>
      <c r="H184" t="s">
        <v>53</v>
      </c>
      <c r="I184" t="s">
        <v>41</v>
      </c>
      <c r="J184" t="s">
        <v>50</v>
      </c>
    </row>
    <row r="185" spans="1:10" x14ac:dyDescent="0.35">
      <c r="A185">
        <v>184</v>
      </c>
      <c r="B185" t="s">
        <v>58</v>
      </c>
      <c r="C185" t="s">
        <v>19</v>
      </c>
      <c r="D185" t="s">
        <v>20</v>
      </c>
      <c r="E185" t="s">
        <v>55</v>
      </c>
      <c r="F185" t="s">
        <v>14</v>
      </c>
      <c r="G185">
        <v>166</v>
      </c>
      <c r="H185" t="s">
        <v>23</v>
      </c>
      <c r="I185" t="s">
        <v>24</v>
      </c>
      <c r="J185" t="s">
        <v>56</v>
      </c>
    </row>
    <row r="186" spans="1:10" x14ac:dyDescent="0.35">
      <c r="A186">
        <v>185</v>
      </c>
      <c r="B186" t="s">
        <v>44</v>
      </c>
      <c r="C186" t="s">
        <v>30</v>
      </c>
      <c r="D186" t="s">
        <v>51</v>
      </c>
      <c r="E186" t="s">
        <v>55</v>
      </c>
      <c r="F186" t="s">
        <v>32</v>
      </c>
      <c r="G186">
        <v>165</v>
      </c>
      <c r="H186" t="s">
        <v>38</v>
      </c>
      <c r="I186" t="s">
        <v>16</v>
      </c>
      <c r="J186" t="s">
        <v>42</v>
      </c>
    </row>
    <row r="187" spans="1:10" x14ac:dyDescent="0.35">
      <c r="A187">
        <v>186</v>
      </c>
      <c r="B187" t="s">
        <v>58</v>
      </c>
      <c r="C187" t="s">
        <v>11</v>
      </c>
      <c r="D187" t="s">
        <v>51</v>
      </c>
      <c r="E187" t="s">
        <v>59</v>
      </c>
      <c r="F187" t="s">
        <v>32</v>
      </c>
      <c r="G187">
        <v>269</v>
      </c>
      <c r="H187" t="s">
        <v>23</v>
      </c>
      <c r="I187" t="s">
        <v>16</v>
      </c>
      <c r="J187" t="s">
        <v>49</v>
      </c>
    </row>
    <row r="188" spans="1:10" x14ac:dyDescent="0.35">
      <c r="A188">
        <v>187</v>
      </c>
      <c r="B188" t="s">
        <v>10</v>
      </c>
      <c r="C188" t="s">
        <v>45</v>
      </c>
      <c r="D188" t="s">
        <v>20</v>
      </c>
      <c r="E188" t="s">
        <v>21</v>
      </c>
      <c r="F188" t="s">
        <v>32</v>
      </c>
      <c r="G188">
        <v>123</v>
      </c>
      <c r="H188" t="s">
        <v>38</v>
      </c>
      <c r="I188" t="s">
        <v>24</v>
      </c>
      <c r="J188" t="s">
        <v>56</v>
      </c>
    </row>
    <row r="189" spans="1:10" x14ac:dyDescent="0.35">
      <c r="A189">
        <v>188</v>
      </c>
      <c r="B189" t="s">
        <v>35</v>
      </c>
      <c r="C189" t="s">
        <v>30</v>
      </c>
      <c r="D189" t="s">
        <v>27</v>
      </c>
      <c r="E189" t="s">
        <v>37</v>
      </c>
      <c r="F189" t="s">
        <v>14</v>
      </c>
      <c r="G189">
        <v>133</v>
      </c>
      <c r="H189" t="s">
        <v>53</v>
      </c>
      <c r="I189" t="s">
        <v>41</v>
      </c>
      <c r="J189" t="s">
        <v>43</v>
      </c>
    </row>
    <row r="190" spans="1:10" x14ac:dyDescent="0.35">
      <c r="A190">
        <v>189</v>
      </c>
      <c r="B190" t="s">
        <v>44</v>
      </c>
      <c r="C190" t="s">
        <v>47</v>
      </c>
      <c r="D190" t="s">
        <v>20</v>
      </c>
      <c r="E190" t="s">
        <v>40</v>
      </c>
      <c r="F190" t="s">
        <v>14</v>
      </c>
      <c r="G190">
        <v>92</v>
      </c>
      <c r="H190" t="s">
        <v>15</v>
      </c>
      <c r="I190" t="s">
        <v>24</v>
      </c>
      <c r="J190" t="s">
        <v>54</v>
      </c>
    </row>
    <row r="191" spans="1:10" x14ac:dyDescent="0.35">
      <c r="A191">
        <v>190</v>
      </c>
      <c r="B191" t="s">
        <v>46</v>
      </c>
      <c r="C191" t="s">
        <v>26</v>
      </c>
      <c r="D191" t="s">
        <v>20</v>
      </c>
      <c r="E191" t="s">
        <v>13</v>
      </c>
      <c r="F191" t="s">
        <v>22</v>
      </c>
      <c r="G191">
        <v>44</v>
      </c>
      <c r="H191" t="s">
        <v>29</v>
      </c>
      <c r="I191" t="s">
        <v>24</v>
      </c>
      <c r="J191" t="s">
        <v>49</v>
      </c>
    </row>
    <row r="192" spans="1:10" x14ac:dyDescent="0.35">
      <c r="A192">
        <v>191</v>
      </c>
      <c r="B192" t="s">
        <v>44</v>
      </c>
      <c r="C192" t="s">
        <v>19</v>
      </c>
      <c r="D192" t="s">
        <v>12</v>
      </c>
      <c r="E192" t="s">
        <v>21</v>
      </c>
      <c r="F192" t="s">
        <v>32</v>
      </c>
      <c r="G192">
        <v>40</v>
      </c>
      <c r="H192" t="s">
        <v>15</v>
      </c>
      <c r="I192" t="s">
        <v>41</v>
      </c>
      <c r="J192" t="s">
        <v>17</v>
      </c>
    </row>
    <row r="193" spans="1:10" x14ac:dyDescent="0.35">
      <c r="A193">
        <v>192</v>
      </c>
      <c r="B193" t="s">
        <v>18</v>
      </c>
      <c r="C193" t="s">
        <v>30</v>
      </c>
      <c r="D193" t="s">
        <v>27</v>
      </c>
      <c r="E193" t="s">
        <v>37</v>
      </c>
      <c r="F193" t="s">
        <v>22</v>
      </c>
      <c r="G193">
        <v>30</v>
      </c>
      <c r="H193" t="s">
        <v>53</v>
      </c>
      <c r="I193" t="s">
        <v>24</v>
      </c>
      <c r="J193" t="s">
        <v>49</v>
      </c>
    </row>
    <row r="194" spans="1:10" x14ac:dyDescent="0.35">
      <c r="A194">
        <v>193</v>
      </c>
      <c r="B194" t="s">
        <v>44</v>
      </c>
      <c r="C194" t="s">
        <v>26</v>
      </c>
      <c r="D194" t="s">
        <v>51</v>
      </c>
      <c r="E194" t="s">
        <v>28</v>
      </c>
      <c r="F194" t="s">
        <v>22</v>
      </c>
      <c r="G194">
        <v>35</v>
      </c>
      <c r="H194" t="s">
        <v>29</v>
      </c>
      <c r="I194" t="s">
        <v>24</v>
      </c>
      <c r="J194" t="s">
        <v>57</v>
      </c>
    </row>
    <row r="195" spans="1:10" x14ac:dyDescent="0.35">
      <c r="A195">
        <v>194</v>
      </c>
      <c r="B195" t="s">
        <v>35</v>
      </c>
      <c r="C195" t="s">
        <v>11</v>
      </c>
      <c r="D195" t="s">
        <v>51</v>
      </c>
      <c r="E195" t="s">
        <v>13</v>
      </c>
      <c r="F195" t="s">
        <v>22</v>
      </c>
      <c r="G195">
        <v>275</v>
      </c>
      <c r="H195" t="s">
        <v>33</v>
      </c>
      <c r="I195" t="s">
        <v>41</v>
      </c>
      <c r="J195" t="s">
        <v>43</v>
      </c>
    </row>
    <row r="196" spans="1:10" x14ac:dyDescent="0.35">
      <c r="A196">
        <v>195</v>
      </c>
      <c r="B196" t="s">
        <v>46</v>
      </c>
      <c r="C196" t="s">
        <v>19</v>
      </c>
      <c r="D196" t="s">
        <v>27</v>
      </c>
      <c r="E196" t="s">
        <v>37</v>
      </c>
      <c r="F196" t="s">
        <v>22</v>
      </c>
      <c r="G196">
        <v>62</v>
      </c>
      <c r="H196" t="s">
        <v>38</v>
      </c>
      <c r="I196" t="s">
        <v>41</v>
      </c>
      <c r="J196" t="s">
        <v>34</v>
      </c>
    </row>
    <row r="197" spans="1:10" x14ac:dyDescent="0.35">
      <c r="A197">
        <v>196</v>
      </c>
      <c r="B197" t="s">
        <v>46</v>
      </c>
      <c r="C197" t="s">
        <v>26</v>
      </c>
      <c r="D197" t="s">
        <v>12</v>
      </c>
      <c r="E197" t="s">
        <v>13</v>
      </c>
      <c r="F197" t="s">
        <v>22</v>
      </c>
      <c r="G197">
        <v>157</v>
      </c>
      <c r="H197" t="s">
        <v>33</v>
      </c>
      <c r="I197" t="s">
        <v>16</v>
      </c>
      <c r="J197" t="s">
        <v>17</v>
      </c>
    </row>
    <row r="198" spans="1:10" x14ac:dyDescent="0.35">
      <c r="A198">
        <v>197</v>
      </c>
      <c r="B198" t="s">
        <v>44</v>
      </c>
      <c r="C198" t="s">
        <v>47</v>
      </c>
      <c r="D198" t="s">
        <v>27</v>
      </c>
      <c r="E198" t="s">
        <v>60</v>
      </c>
      <c r="F198" t="s">
        <v>22</v>
      </c>
      <c r="G198">
        <v>226</v>
      </c>
      <c r="H198" t="s">
        <v>53</v>
      </c>
      <c r="I198" t="s">
        <v>41</v>
      </c>
      <c r="J198" t="s">
        <v>34</v>
      </c>
    </row>
    <row r="199" spans="1:10" x14ac:dyDescent="0.35">
      <c r="A199">
        <v>198</v>
      </c>
      <c r="B199" t="s">
        <v>44</v>
      </c>
      <c r="C199" t="s">
        <v>45</v>
      </c>
      <c r="D199" t="s">
        <v>27</v>
      </c>
      <c r="E199" t="s">
        <v>28</v>
      </c>
      <c r="F199" t="s">
        <v>14</v>
      </c>
      <c r="G199">
        <v>225</v>
      </c>
      <c r="H199" t="s">
        <v>15</v>
      </c>
      <c r="I199" t="s">
        <v>41</v>
      </c>
      <c r="J199" t="s">
        <v>43</v>
      </c>
    </row>
    <row r="200" spans="1:10" x14ac:dyDescent="0.35">
      <c r="A200">
        <v>199</v>
      </c>
      <c r="B200" t="s">
        <v>44</v>
      </c>
      <c r="C200" t="s">
        <v>30</v>
      </c>
      <c r="D200" t="s">
        <v>51</v>
      </c>
      <c r="E200" t="s">
        <v>59</v>
      </c>
      <c r="F200" t="s">
        <v>22</v>
      </c>
      <c r="G200">
        <v>128</v>
      </c>
      <c r="H200" t="s">
        <v>53</v>
      </c>
      <c r="I200" t="s">
        <v>41</v>
      </c>
      <c r="J200" t="s">
        <v>49</v>
      </c>
    </row>
    <row r="201" spans="1:10" x14ac:dyDescent="0.35">
      <c r="A201">
        <v>200</v>
      </c>
      <c r="B201" t="s">
        <v>10</v>
      </c>
      <c r="C201" t="s">
        <v>11</v>
      </c>
      <c r="D201" t="s">
        <v>36</v>
      </c>
      <c r="E201" t="s">
        <v>60</v>
      </c>
      <c r="F201" t="s">
        <v>14</v>
      </c>
      <c r="G201">
        <v>67</v>
      </c>
      <c r="H201" t="s">
        <v>29</v>
      </c>
      <c r="I201" t="s">
        <v>41</v>
      </c>
      <c r="J201" t="s">
        <v>50</v>
      </c>
    </row>
    <row r="202" spans="1:10" x14ac:dyDescent="0.35">
      <c r="A202">
        <v>201</v>
      </c>
      <c r="B202" t="s">
        <v>58</v>
      </c>
      <c r="C202" t="s">
        <v>11</v>
      </c>
      <c r="D202" t="s">
        <v>12</v>
      </c>
      <c r="E202" t="s">
        <v>40</v>
      </c>
      <c r="F202" t="s">
        <v>14</v>
      </c>
      <c r="G202">
        <v>164</v>
      </c>
      <c r="H202" t="s">
        <v>15</v>
      </c>
      <c r="I202" t="s">
        <v>16</v>
      </c>
      <c r="J202" t="s">
        <v>49</v>
      </c>
    </row>
    <row r="203" spans="1:10" x14ac:dyDescent="0.35">
      <c r="A203">
        <v>202</v>
      </c>
      <c r="B203" t="s">
        <v>35</v>
      </c>
      <c r="C203" t="s">
        <v>11</v>
      </c>
      <c r="D203" t="s">
        <v>36</v>
      </c>
      <c r="E203" t="s">
        <v>55</v>
      </c>
      <c r="F203" t="s">
        <v>32</v>
      </c>
      <c r="G203">
        <v>66</v>
      </c>
      <c r="H203" t="s">
        <v>23</v>
      </c>
      <c r="I203" t="s">
        <v>16</v>
      </c>
      <c r="J203" t="s">
        <v>52</v>
      </c>
    </row>
    <row r="204" spans="1:10" x14ac:dyDescent="0.35">
      <c r="A204">
        <v>203</v>
      </c>
      <c r="B204" t="s">
        <v>18</v>
      </c>
      <c r="C204" t="s">
        <v>19</v>
      </c>
      <c r="D204" t="s">
        <v>12</v>
      </c>
      <c r="E204" t="s">
        <v>55</v>
      </c>
      <c r="F204" t="s">
        <v>22</v>
      </c>
      <c r="G204">
        <v>164</v>
      </c>
      <c r="H204" t="s">
        <v>29</v>
      </c>
      <c r="I204" t="s">
        <v>41</v>
      </c>
      <c r="J204" t="s">
        <v>57</v>
      </c>
    </row>
    <row r="205" spans="1:10" x14ac:dyDescent="0.35">
      <c r="A205">
        <v>204</v>
      </c>
      <c r="B205" t="s">
        <v>35</v>
      </c>
      <c r="C205" t="s">
        <v>26</v>
      </c>
      <c r="D205" t="s">
        <v>20</v>
      </c>
      <c r="E205" t="s">
        <v>40</v>
      </c>
      <c r="F205" t="s">
        <v>22</v>
      </c>
      <c r="G205">
        <v>204</v>
      </c>
      <c r="H205" t="s">
        <v>53</v>
      </c>
      <c r="I205" t="s">
        <v>16</v>
      </c>
      <c r="J205" t="s">
        <v>42</v>
      </c>
    </row>
    <row r="206" spans="1:10" x14ac:dyDescent="0.35">
      <c r="A206">
        <v>205</v>
      </c>
      <c r="B206" t="s">
        <v>46</v>
      </c>
      <c r="C206" t="s">
        <v>19</v>
      </c>
      <c r="D206" t="s">
        <v>36</v>
      </c>
      <c r="E206" t="s">
        <v>21</v>
      </c>
      <c r="F206" t="s">
        <v>14</v>
      </c>
      <c r="G206">
        <v>108</v>
      </c>
      <c r="H206" t="s">
        <v>38</v>
      </c>
      <c r="I206" t="s">
        <v>16</v>
      </c>
      <c r="J206" t="s">
        <v>34</v>
      </c>
    </row>
    <row r="207" spans="1:10" x14ac:dyDescent="0.35">
      <c r="A207">
        <v>206</v>
      </c>
      <c r="B207" t="s">
        <v>46</v>
      </c>
      <c r="C207" t="s">
        <v>45</v>
      </c>
      <c r="D207" t="s">
        <v>36</v>
      </c>
      <c r="E207" t="s">
        <v>31</v>
      </c>
      <c r="F207" t="s">
        <v>14</v>
      </c>
      <c r="G207">
        <v>139</v>
      </c>
      <c r="H207" t="s">
        <v>23</v>
      </c>
      <c r="I207" t="s">
        <v>41</v>
      </c>
      <c r="J207" t="s">
        <v>52</v>
      </c>
    </row>
    <row r="208" spans="1:10" x14ac:dyDescent="0.35">
      <c r="A208">
        <v>207</v>
      </c>
      <c r="B208" t="s">
        <v>10</v>
      </c>
      <c r="C208" t="s">
        <v>26</v>
      </c>
      <c r="D208" t="s">
        <v>36</v>
      </c>
      <c r="E208" t="s">
        <v>13</v>
      </c>
      <c r="F208" t="s">
        <v>32</v>
      </c>
      <c r="G208">
        <v>285</v>
      </c>
      <c r="H208" t="s">
        <v>23</v>
      </c>
      <c r="I208" t="s">
        <v>24</v>
      </c>
      <c r="J208" t="s">
        <v>39</v>
      </c>
    </row>
    <row r="209" spans="1:10" x14ac:dyDescent="0.35">
      <c r="A209">
        <v>208</v>
      </c>
      <c r="B209" t="s">
        <v>10</v>
      </c>
      <c r="C209" t="s">
        <v>45</v>
      </c>
      <c r="D209" t="s">
        <v>51</v>
      </c>
      <c r="E209" t="s">
        <v>31</v>
      </c>
      <c r="F209" t="s">
        <v>22</v>
      </c>
      <c r="G209">
        <v>297</v>
      </c>
      <c r="H209" t="s">
        <v>38</v>
      </c>
      <c r="I209" t="s">
        <v>41</v>
      </c>
      <c r="J209" t="s">
        <v>25</v>
      </c>
    </row>
    <row r="210" spans="1:10" x14ac:dyDescent="0.35">
      <c r="A210">
        <v>209</v>
      </c>
      <c r="B210" t="s">
        <v>10</v>
      </c>
      <c r="C210" t="s">
        <v>30</v>
      </c>
      <c r="D210" t="s">
        <v>36</v>
      </c>
      <c r="E210" t="s">
        <v>31</v>
      </c>
      <c r="F210" t="s">
        <v>14</v>
      </c>
      <c r="G210">
        <v>89</v>
      </c>
      <c r="H210" t="s">
        <v>23</v>
      </c>
      <c r="I210" t="s">
        <v>16</v>
      </c>
      <c r="J210" t="s">
        <v>25</v>
      </c>
    </row>
    <row r="211" spans="1:10" x14ac:dyDescent="0.35">
      <c r="A211">
        <v>210</v>
      </c>
      <c r="B211" t="s">
        <v>35</v>
      </c>
      <c r="C211" t="s">
        <v>19</v>
      </c>
      <c r="D211" t="s">
        <v>27</v>
      </c>
      <c r="E211" t="s">
        <v>60</v>
      </c>
      <c r="F211" t="s">
        <v>22</v>
      </c>
      <c r="G211">
        <v>126</v>
      </c>
      <c r="H211" t="s">
        <v>23</v>
      </c>
      <c r="I211" t="s">
        <v>16</v>
      </c>
      <c r="J211" t="s">
        <v>34</v>
      </c>
    </row>
    <row r="212" spans="1:10" x14ac:dyDescent="0.35">
      <c r="A212">
        <v>211</v>
      </c>
      <c r="B212" t="s">
        <v>44</v>
      </c>
      <c r="C212" t="s">
        <v>11</v>
      </c>
      <c r="D212" t="s">
        <v>36</v>
      </c>
      <c r="E212" t="s">
        <v>31</v>
      </c>
      <c r="F212" t="s">
        <v>22</v>
      </c>
      <c r="G212">
        <v>63</v>
      </c>
      <c r="H212" t="s">
        <v>15</v>
      </c>
      <c r="I212" t="s">
        <v>24</v>
      </c>
      <c r="J212" t="s">
        <v>50</v>
      </c>
    </row>
    <row r="213" spans="1:10" x14ac:dyDescent="0.35">
      <c r="A213">
        <v>212</v>
      </c>
      <c r="B213" t="s">
        <v>46</v>
      </c>
      <c r="C213" t="s">
        <v>45</v>
      </c>
      <c r="D213" t="s">
        <v>20</v>
      </c>
      <c r="E213" t="s">
        <v>55</v>
      </c>
      <c r="F213" t="s">
        <v>32</v>
      </c>
      <c r="G213">
        <v>243</v>
      </c>
      <c r="H213" t="s">
        <v>53</v>
      </c>
      <c r="I213" t="s">
        <v>16</v>
      </c>
      <c r="J213" t="s">
        <v>49</v>
      </c>
    </row>
    <row r="214" spans="1:10" x14ac:dyDescent="0.35">
      <c r="A214">
        <v>213</v>
      </c>
      <c r="B214" t="s">
        <v>44</v>
      </c>
      <c r="C214" t="s">
        <v>11</v>
      </c>
      <c r="D214" t="s">
        <v>51</v>
      </c>
      <c r="E214" t="s">
        <v>60</v>
      </c>
      <c r="F214" t="s">
        <v>14</v>
      </c>
      <c r="G214">
        <v>184</v>
      </c>
      <c r="H214" t="s">
        <v>53</v>
      </c>
      <c r="I214" t="s">
        <v>16</v>
      </c>
      <c r="J214" t="s">
        <v>25</v>
      </c>
    </row>
    <row r="215" spans="1:10" x14ac:dyDescent="0.35">
      <c r="A215">
        <v>214</v>
      </c>
      <c r="B215" t="s">
        <v>46</v>
      </c>
      <c r="C215" t="s">
        <v>30</v>
      </c>
      <c r="D215" t="s">
        <v>36</v>
      </c>
      <c r="E215" t="s">
        <v>59</v>
      </c>
      <c r="F215" t="s">
        <v>14</v>
      </c>
      <c r="G215">
        <v>254</v>
      </c>
      <c r="H215" t="s">
        <v>53</v>
      </c>
      <c r="I215" t="s">
        <v>41</v>
      </c>
      <c r="J215" t="s">
        <v>39</v>
      </c>
    </row>
    <row r="216" spans="1:10" x14ac:dyDescent="0.35">
      <c r="A216">
        <v>215</v>
      </c>
      <c r="B216" t="s">
        <v>58</v>
      </c>
      <c r="C216" t="s">
        <v>19</v>
      </c>
      <c r="D216" t="s">
        <v>27</v>
      </c>
      <c r="E216" t="s">
        <v>40</v>
      </c>
      <c r="F216" t="s">
        <v>32</v>
      </c>
      <c r="G216">
        <v>96</v>
      </c>
      <c r="H216" t="s">
        <v>33</v>
      </c>
      <c r="I216" t="s">
        <v>41</v>
      </c>
      <c r="J216" t="s">
        <v>52</v>
      </c>
    </row>
    <row r="217" spans="1:10" x14ac:dyDescent="0.35">
      <c r="A217">
        <v>216</v>
      </c>
      <c r="B217" t="s">
        <v>58</v>
      </c>
      <c r="C217" t="s">
        <v>26</v>
      </c>
      <c r="D217" t="s">
        <v>36</v>
      </c>
      <c r="E217" t="s">
        <v>37</v>
      </c>
      <c r="F217" t="s">
        <v>22</v>
      </c>
      <c r="G217">
        <v>91</v>
      </c>
      <c r="H217" t="s">
        <v>23</v>
      </c>
      <c r="I217" t="s">
        <v>16</v>
      </c>
      <c r="J217" t="s">
        <v>50</v>
      </c>
    </row>
    <row r="218" spans="1:10" x14ac:dyDescent="0.35">
      <c r="A218">
        <v>217</v>
      </c>
      <c r="B218" t="s">
        <v>10</v>
      </c>
      <c r="C218" t="s">
        <v>47</v>
      </c>
      <c r="D218" t="s">
        <v>51</v>
      </c>
      <c r="E218" t="s">
        <v>28</v>
      </c>
      <c r="F218" t="s">
        <v>14</v>
      </c>
      <c r="G218">
        <v>27</v>
      </c>
      <c r="H218" t="s">
        <v>15</v>
      </c>
      <c r="I218" t="s">
        <v>41</v>
      </c>
      <c r="J218" t="s">
        <v>42</v>
      </c>
    </row>
    <row r="219" spans="1:10" x14ac:dyDescent="0.35">
      <c r="A219">
        <v>218</v>
      </c>
      <c r="B219" t="s">
        <v>46</v>
      </c>
      <c r="C219" t="s">
        <v>47</v>
      </c>
      <c r="D219" t="s">
        <v>51</v>
      </c>
      <c r="E219" t="s">
        <v>37</v>
      </c>
      <c r="F219" t="s">
        <v>32</v>
      </c>
      <c r="G219">
        <v>118</v>
      </c>
      <c r="H219" t="s">
        <v>33</v>
      </c>
      <c r="I219" t="s">
        <v>24</v>
      </c>
      <c r="J219" t="s">
        <v>54</v>
      </c>
    </row>
    <row r="220" spans="1:10" x14ac:dyDescent="0.35">
      <c r="A220">
        <v>219</v>
      </c>
      <c r="B220" t="s">
        <v>58</v>
      </c>
      <c r="C220" t="s">
        <v>30</v>
      </c>
      <c r="D220" t="s">
        <v>51</v>
      </c>
      <c r="E220" t="s">
        <v>59</v>
      </c>
      <c r="F220" t="s">
        <v>32</v>
      </c>
      <c r="G220">
        <v>137</v>
      </c>
      <c r="H220" t="s">
        <v>29</v>
      </c>
      <c r="I220" t="s">
        <v>41</v>
      </c>
      <c r="J220" t="s">
        <v>17</v>
      </c>
    </row>
    <row r="221" spans="1:10" x14ac:dyDescent="0.35">
      <c r="A221">
        <v>220</v>
      </c>
      <c r="B221" t="s">
        <v>18</v>
      </c>
      <c r="C221" t="s">
        <v>26</v>
      </c>
      <c r="D221" t="s">
        <v>36</v>
      </c>
      <c r="E221" t="s">
        <v>48</v>
      </c>
      <c r="F221" t="s">
        <v>22</v>
      </c>
      <c r="G221">
        <v>171</v>
      </c>
      <c r="H221" t="s">
        <v>33</v>
      </c>
      <c r="I221" t="s">
        <v>16</v>
      </c>
      <c r="J221" t="s">
        <v>17</v>
      </c>
    </row>
    <row r="222" spans="1:10" x14ac:dyDescent="0.35">
      <c r="A222">
        <v>221</v>
      </c>
      <c r="B222" t="s">
        <v>10</v>
      </c>
      <c r="C222" t="s">
        <v>11</v>
      </c>
      <c r="D222" t="s">
        <v>36</v>
      </c>
      <c r="E222" t="s">
        <v>48</v>
      </c>
      <c r="F222" t="s">
        <v>22</v>
      </c>
      <c r="G222">
        <v>263</v>
      </c>
      <c r="H222" t="s">
        <v>23</v>
      </c>
      <c r="I222" t="s">
        <v>41</v>
      </c>
      <c r="J222" t="s">
        <v>57</v>
      </c>
    </row>
    <row r="223" spans="1:10" x14ac:dyDescent="0.35">
      <c r="A223">
        <v>222</v>
      </c>
      <c r="B223" t="s">
        <v>35</v>
      </c>
      <c r="C223" t="s">
        <v>30</v>
      </c>
      <c r="D223" t="s">
        <v>36</v>
      </c>
      <c r="E223" t="s">
        <v>31</v>
      </c>
      <c r="F223" t="s">
        <v>14</v>
      </c>
      <c r="G223">
        <v>142</v>
      </c>
      <c r="H223" t="s">
        <v>23</v>
      </c>
      <c r="I223" t="s">
        <v>16</v>
      </c>
      <c r="J223" t="s">
        <v>50</v>
      </c>
    </row>
    <row r="224" spans="1:10" x14ac:dyDescent="0.35">
      <c r="A224">
        <v>223</v>
      </c>
      <c r="B224" t="s">
        <v>10</v>
      </c>
      <c r="C224" t="s">
        <v>47</v>
      </c>
      <c r="D224" t="s">
        <v>51</v>
      </c>
      <c r="E224" t="s">
        <v>31</v>
      </c>
      <c r="F224" t="s">
        <v>14</v>
      </c>
      <c r="G224">
        <v>183</v>
      </c>
      <c r="H224" t="s">
        <v>23</v>
      </c>
      <c r="I224" t="s">
        <v>41</v>
      </c>
      <c r="J224" t="s">
        <v>43</v>
      </c>
    </row>
    <row r="225" spans="1:10" x14ac:dyDescent="0.35">
      <c r="A225">
        <v>224</v>
      </c>
      <c r="B225" t="s">
        <v>18</v>
      </c>
      <c r="C225" t="s">
        <v>47</v>
      </c>
      <c r="D225" t="s">
        <v>20</v>
      </c>
      <c r="E225" t="s">
        <v>21</v>
      </c>
      <c r="F225" t="s">
        <v>32</v>
      </c>
      <c r="G225">
        <v>237</v>
      </c>
      <c r="H225" t="s">
        <v>53</v>
      </c>
      <c r="I225" t="s">
        <v>24</v>
      </c>
      <c r="J225" t="s">
        <v>42</v>
      </c>
    </row>
    <row r="226" spans="1:10" x14ac:dyDescent="0.35">
      <c r="A226">
        <v>225</v>
      </c>
      <c r="B226" t="s">
        <v>44</v>
      </c>
      <c r="C226" t="s">
        <v>19</v>
      </c>
      <c r="D226" t="s">
        <v>20</v>
      </c>
      <c r="E226" t="s">
        <v>31</v>
      </c>
      <c r="F226" t="s">
        <v>14</v>
      </c>
      <c r="G226">
        <v>199</v>
      </c>
      <c r="H226" t="s">
        <v>38</v>
      </c>
      <c r="I226" t="s">
        <v>16</v>
      </c>
      <c r="J226" t="s">
        <v>54</v>
      </c>
    </row>
    <row r="227" spans="1:10" x14ac:dyDescent="0.35">
      <c r="A227">
        <v>226</v>
      </c>
      <c r="B227" t="s">
        <v>44</v>
      </c>
      <c r="C227" t="s">
        <v>11</v>
      </c>
      <c r="D227" t="s">
        <v>27</v>
      </c>
      <c r="E227" t="s">
        <v>13</v>
      </c>
      <c r="F227" t="s">
        <v>32</v>
      </c>
      <c r="G227">
        <v>154</v>
      </c>
      <c r="H227" t="s">
        <v>53</v>
      </c>
      <c r="I227" t="s">
        <v>41</v>
      </c>
      <c r="J227" t="s">
        <v>25</v>
      </c>
    </row>
    <row r="228" spans="1:10" x14ac:dyDescent="0.35">
      <c r="A228">
        <v>227</v>
      </c>
      <c r="B228" t="s">
        <v>18</v>
      </c>
      <c r="C228" t="s">
        <v>47</v>
      </c>
      <c r="D228" t="s">
        <v>36</v>
      </c>
      <c r="E228" t="s">
        <v>13</v>
      </c>
      <c r="F228" t="s">
        <v>14</v>
      </c>
      <c r="G228">
        <v>203</v>
      </c>
      <c r="H228" t="s">
        <v>53</v>
      </c>
      <c r="I228" t="s">
        <v>24</v>
      </c>
      <c r="J228" t="s">
        <v>39</v>
      </c>
    </row>
    <row r="229" spans="1:10" x14ac:dyDescent="0.35">
      <c r="A229">
        <v>228</v>
      </c>
      <c r="B229" t="s">
        <v>46</v>
      </c>
      <c r="C229" t="s">
        <v>11</v>
      </c>
      <c r="D229" t="s">
        <v>51</v>
      </c>
      <c r="E229" t="s">
        <v>48</v>
      </c>
      <c r="F229" t="s">
        <v>14</v>
      </c>
      <c r="G229">
        <v>185</v>
      </c>
      <c r="H229" t="s">
        <v>23</v>
      </c>
      <c r="I229" t="s">
        <v>24</v>
      </c>
      <c r="J229" t="s">
        <v>57</v>
      </c>
    </row>
    <row r="230" spans="1:10" x14ac:dyDescent="0.35">
      <c r="A230">
        <v>229</v>
      </c>
      <c r="B230" t="s">
        <v>58</v>
      </c>
      <c r="C230" t="s">
        <v>47</v>
      </c>
      <c r="D230" t="s">
        <v>51</v>
      </c>
      <c r="E230" t="s">
        <v>13</v>
      </c>
      <c r="F230" t="s">
        <v>32</v>
      </c>
      <c r="G230">
        <v>230</v>
      </c>
      <c r="H230" t="s">
        <v>15</v>
      </c>
      <c r="I230" t="s">
        <v>16</v>
      </c>
      <c r="J230" t="s">
        <v>42</v>
      </c>
    </row>
    <row r="231" spans="1:10" x14ac:dyDescent="0.35">
      <c r="A231">
        <v>230</v>
      </c>
      <c r="B231" t="s">
        <v>46</v>
      </c>
      <c r="C231" t="s">
        <v>47</v>
      </c>
      <c r="D231" t="s">
        <v>36</v>
      </c>
      <c r="E231" t="s">
        <v>59</v>
      </c>
      <c r="F231" t="s">
        <v>14</v>
      </c>
      <c r="G231">
        <v>152</v>
      </c>
      <c r="H231" t="s">
        <v>23</v>
      </c>
      <c r="I231" t="s">
        <v>41</v>
      </c>
      <c r="J231" t="s">
        <v>25</v>
      </c>
    </row>
    <row r="232" spans="1:10" x14ac:dyDescent="0.35">
      <c r="A232">
        <v>231</v>
      </c>
      <c r="B232" t="s">
        <v>18</v>
      </c>
      <c r="C232" t="s">
        <v>47</v>
      </c>
      <c r="D232" t="s">
        <v>51</v>
      </c>
      <c r="E232" t="s">
        <v>60</v>
      </c>
      <c r="F232" t="s">
        <v>22</v>
      </c>
      <c r="G232">
        <v>270</v>
      </c>
      <c r="H232" t="s">
        <v>38</v>
      </c>
      <c r="I232" t="s">
        <v>16</v>
      </c>
      <c r="J232" t="s">
        <v>34</v>
      </c>
    </row>
    <row r="233" spans="1:10" x14ac:dyDescent="0.35">
      <c r="A233">
        <v>232</v>
      </c>
      <c r="B233" t="s">
        <v>44</v>
      </c>
      <c r="C233" t="s">
        <v>11</v>
      </c>
      <c r="D233" t="s">
        <v>36</v>
      </c>
      <c r="E233" t="s">
        <v>40</v>
      </c>
      <c r="F233" t="s">
        <v>32</v>
      </c>
      <c r="G233">
        <v>201</v>
      </c>
      <c r="H233" t="s">
        <v>15</v>
      </c>
      <c r="I233" t="s">
        <v>24</v>
      </c>
      <c r="J233" t="s">
        <v>54</v>
      </c>
    </row>
    <row r="234" spans="1:10" x14ac:dyDescent="0.35">
      <c r="A234">
        <v>233</v>
      </c>
      <c r="B234" t="s">
        <v>35</v>
      </c>
      <c r="C234" t="s">
        <v>47</v>
      </c>
      <c r="D234" t="s">
        <v>36</v>
      </c>
      <c r="E234" t="s">
        <v>31</v>
      </c>
      <c r="F234" t="s">
        <v>22</v>
      </c>
      <c r="G234">
        <v>191</v>
      </c>
      <c r="H234" t="s">
        <v>15</v>
      </c>
      <c r="I234" t="s">
        <v>16</v>
      </c>
      <c r="J234" t="s">
        <v>42</v>
      </c>
    </row>
    <row r="235" spans="1:10" x14ac:dyDescent="0.35">
      <c r="A235">
        <v>234</v>
      </c>
      <c r="B235" t="s">
        <v>10</v>
      </c>
      <c r="C235" t="s">
        <v>45</v>
      </c>
      <c r="D235" t="s">
        <v>36</v>
      </c>
      <c r="E235" t="s">
        <v>28</v>
      </c>
      <c r="F235" t="s">
        <v>22</v>
      </c>
      <c r="G235">
        <v>131</v>
      </c>
      <c r="H235" t="s">
        <v>38</v>
      </c>
      <c r="I235" t="s">
        <v>41</v>
      </c>
      <c r="J235" t="s">
        <v>49</v>
      </c>
    </row>
    <row r="236" spans="1:10" x14ac:dyDescent="0.35">
      <c r="A236">
        <v>235</v>
      </c>
      <c r="B236" t="s">
        <v>10</v>
      </c>
      <c r="C236" t="s">
        <v>30</v>
      </c>
      <c r="D236" t="s">
        <v>20</v>
      </c>
      <c r="E236" t="s">
        <v>37</v>
      </c>
      <c r="F236" t="s">
        <v>32</v>
      </c>
      <c r="G236">
        <v>144</v>
      </c>
      <c r="H236" t="s">
        <v>53</v>
      </c>
      <c r="I236" t="s">
        <v>16</v>
      </c>
      <c r="J236" t="s">
        <v>25</v>
      </c>
    </row>
    <row r="237" spans="1:10" x14ac:dyDescent="0.35">
      <c r="A237">
        <v>236</v>
      </c>
      <c r="B237" t="s">
        <v>35</v>
      </c>
      <c r="C237" t="s">
        <v>19</v>
      </c>
      <c r="D237" t="s">
        <v>27</v>
      </c>
      <c r="E237" t="s">
        <v>48</v>
      </c>
      <c r="F237" t="s">
        <v>32</v>
      </c>
      <c r="G237">
        <v>147</v>
      </c>
      <c r="H237" t="s">
        <v>23</v>
      </c>
      <c r="I237" t="s">
        <v>41</v>
      </c>
      <c r="J237" t="s">
        <v>52</v>
      </c>
    </row>
    <row r="238" spans="1:10" x14ac:dyDescent="0.35">
      <c r="A238">
        <v>237</v>
      </c>
      <c r="B238" t="s">
        <v>44</v>
      </c>
      <c r="C238" t="s">
        <v>47</v>
      </c>
      <c r="D238" t="s">
        <v>27</v>
      </c>
      <c r="E238" t="s">
        <v>21</v>
      </c>
      <c r="F238" t="s">
        <v>14</v>
      </c>
      <c r="G238">
        <v>161</v>
      </c>
      <c r="H238" t="s">
        <v>53</v>
      </c>
      <c r="I238" t="s">
        <v>41</v>
      </c>
      <c r="J238" t="s">
        <v>57</v>
      </c>
    </row>
    <row r="239" spans="1:10" x14ac:dyDescent="0.35">
      <c r="A239">
        <v>238</v>
      </c>
      <c r="B239" t="s">
        <v>46</v>
      </c>
      <c r="C239" t="s">
        <v>47</v>
      </c>
      <c r="D239" t="s">
        <v>12</v>
      </c>
      <c r="E239" t="s">
        <v>28</v>
      </c>
      <c r="F239" t="s">
        <v>22</v>
      </c>
      <c r="G239">
        <v>117</v>
      </c>
      <c r="H239" t="s">
        <v>29</v>
      </c>
      <c r="I239" t="s">
        <v>41</v>
      </c>
      <c r="J239" t="s">
        <v>54</v>
      </c>
    </row>
    <row r="240" spans="1:10" x14ac:dyDescent="0.35">
      <c r="A240">
        <v>239</v>
      </c>
      <c r="B240" t="s">
        <v>44</v>
      </c>
      <c r="C240" t="s">
        <v>11</v>
      </c>
      <c r="D240" t="s">
        <v>12</v>
      </c>
      <c r="E240" t="s">
        <v>37</v>
      </c>
      <c r="F240" t="s">
        <v>14</v>
      </c>
      <c r="G240">
        <v>249</v>
      </c>
      <c r="H240" t="s">
        <v>53</v>
      </c>
      <c r="I240" t="s">
        <v>16</v>
      </c>
      <c r="J240" t="s">
        <v>56</v>
      </c>
    </row>
    <row r="241" spans="1:10" x14ac:dyDescent="0.35">
      <c r="A241">
        <v>240</v>
      </c>
      <c r="B241" t="s">
        <v>46</v>
      </c>
      <c r="C241" t="s">
        <v>19</v>
      </c>
      <c r="D241" t="s">
        <v>12</v>
      </c>
      <c r="E241" t="s">
        <v>59</v>
      </c>
      <c r="F241" t="s">
        <v>22</v>
      </c>
      <c r="G241">
        <v>282</v>
      </c>
      <c r="H241" t="s">
        <v>33</v>
      </c>
      <c r="I241" t="s">
        <v>16</v>
      </c>
      <c r="J241" t="s">
        <v>54</v>
      </c>
    </row>
    <row r="242" spans="1:10" x14ac:dyDescent="0.35">
      <c r="A242">
        <v>241</v>
      </c>
      <c r="B242" t="s">
        <v>44</v>
      </c>
      <c r="C242" t="s">
        <v>30</v>
      </c>
      <c r="D242" t="s">
        <v>12</v>
      </c>
      <c r="E242" t="s">
        <v>60</v>
      </c>
      <c r="F242" t="s">
        <v>14</v>
      </c>
      <c r="G242">
        <v>208</v>
      </c>
      <c r="H242" t="s">
        <v>23</v>
      </c>
      <c r="I242" t="s">
        <v>16</v>
      </c>
      <c r="J242" t="s">
        <v>34</v>
      </c>
    </row>
    <row r="243" spans="1:10" x14ac:dyDescent="0.35">
      <c r="A243">
        <v>242</v>
      </c>
      <c r="B243" t="s">
        <v>46</v>
      </c>
      <c r="C243" t="s">
        <v>30</v>
      </c>
      <c r="D243" t="s">
        <v>51</v>
      </c>
      <c r="E243" t="s">
        <v>28</v>
      </c>
      <c r="F243" t="s">
        <v>14</v>
      </c>
      <c r="G243">
        <v>26</v>
      </c>
      <c r="H243" t="s">
        <v>29</v>
      </c>
      <c r="I243" t="s">
        <v>16</v>
      </c>
      <c r="J243" t="s">
        <v>43</v>
      </c>
    </row>
    <row r="244" spans="1:10" x14ac:dyDescent="0.35">
      <c r="A244">
        <v>243</v>
      </c>
      <c r="B244" t="s">
        <v>46</v>
      </c>
      <c r="C244" t="s">
        <v>47</v>
      </c>
      <c r="D244" t="s">
        <v>36</v>
      </c>
      <c r="E244" t="s">
        <v>40</v>
      </c>
      <c r="F244" t="s">
        <v>14</v>
      </c>
      <c r="G244">
        <v>290</v>
      </c>
      <c r="H244" t="s">
        <v>38</v>
      </c>
      <c r="I244" t="s">
        <v>41</v>
      </c>
      <c r="J244" t="s">
        <v>39</v>
      </c>
    </row>
    <row r="245" spans="1:10" x14ac:dyDescent="0.35">
      <c r="A245">
        <v>244</v>
      </c>
      <c r="B245" t="s">
        <v>18</v>
      </c>
      <c r="C245" t="s">
        <v>26</v>
      </c>
      <c r="D245" t="s">
        <v>36</v>
      </c>
      <c r="E245" t="s">
        <v>55</v>
      </c>
      <c r="F245" t="s">
        <v>32</v>
      </c>
      <c r="G245">
        <v>235</v>
      </c>
      <c r="H245" t="s">
        <v>53</v>
      </c>
      <c r="I245" t="s">
        <v>16</v>
      </c>
      <c r="J245" t="s">
        <v>49</v>
      </c>
    </row>
    <row r="246" spans="1:10" x14ac:dyDescent="0.35">
      <c r="A246">
        <v>245</v>
      </c>
      <c r="B246" t="s">
        <v>46</v>
      </c>
      <c r="C246" t="s">
        <v>47</v>
      </c>
      <c r="D246" t="s">
        <v>27</v>
      </c>
      <c r="E246" t="s">
        <v>40</v>
      </c>
      <c r="F246" t="s">
        <v>22</v>
      </c>
      <c r="G246">
        <v>86</v>
      </c>
      <c r="H246" t="s">
        <v>53</v>
      </c>
      <c r="I246" t="s">
        <v>41</v>
      </c>
      <c r="J246" t="s">
        <v>56</v>
      </c>
    </row>
    <row r="247" spans="1:10" x14ac:dyDescent="0.35">
      <c r="A247">
        <v>246</v>
      </c>
      <c r="B247" t="s">
        <v>58</v>
      </c>
      <c r="C247" t="s">
        <v>45</v>
      </c>
      <c r="D247" t="s">
        <v>51</v>
      </c>
      <c r="E247" t="s">
        <v>37</v>
      </c>
      <c r="F247" t="s">
        <v>32</v>
      </c>
      <c r="G247">
        <v>232</v>
      </c>
      <c r="H247" t="s">
        <v>15</v>
      </c>
      <c r="I247" t="s">
        <v>41</v>
      </c>
      <c r="J247" t="s">
        <v>49</v>
      </c>
    </row>
    <row r="248" spans="1:10" x14ac:dyDescent="0.35">
      <c r="A248">
        <v>247</v>
      </c>
      <c r="B248" t="s">
        <v>46</v>
      </c>
      <c r="C248" t="s">
        <v>26</v>
      </c>
      <c r="D248" t="s">
        <v>12</v>
      </c>
      <c r="E248" t="s">
        <v>40</v>
      </c>
      <c r="F248" t="s">
        <v>22</v>
      </c>
      <c r="G248">
        <v>43</v>
      </c>
      <c r="H248" t="s">
        <v>15</v>
      </c>
      <c r="I248" t="s">
        <v>24</v>
      </c>
      <c r="J248" t="s">
        <v>43</v>
      </c>
    </row>
    <row r="249" spans="1:10" x14ac:dyDescent="0.35">
      <c r="A249">
        <v>248</v>
      </c>
      <c r="B249" t="s">
        <v>58</v>
      </c>
      <c r="C249" t="s">
        <v>45</v>
      </c>
      <c r="D249" t="s">
        <v>20</v>
      </c>
      <c r="E249" t="s">
        <v>37</v>
      </c>
      <c r="F249" t="s">
        <v>22</v>
      </c>
      <c r="G249">
        <v>99</v>
      </c>
      <c r="H249" t="s">
        <v>29</v>
      </c>
      <c r="I249" t="s">
        <v>16</v>
      </c>
      <c r="J249" t="s">
        <v>25</v>
      </c>
    </row>
    <row r="250" spans="1:10" x14ac:dyDescent="0.35">
      <c r="A250">
        <v>249</v>
      </c>
      <c r="B250" t="s">
        <v>46</v>
      </c>
      <c r="C250" t="s">
        <v>30</v>
      </c>
      <c r="D250" t="s">
        <v>36</v>
      </c>
      <c r="E250" t="s">
        <v>40</v>
      </c>
      <c r="F250" t="s">
        <v>22</v>
      </c>
      <c r="G250">
        <v>182</v>
      </c>
      <c r="H250" t="s">
        <v>23</v>
      </c>
      <c r="I250" t="s">
        <v>16</v>
      </c>
      <c r="J250" t="s">
        <v>56</v>
      </c>
    </row>
    <row r="251" spans="1:10" x14ac:dyDescent="0.35">
      <c r="A251">
        <v>250</v>
      </c>
      <c r="B251" t="s">
        <v>35</v>
      </c>
      <c r="C251" t="s">
        <v>30</v>
      </c>
      <c r="D251" t="s">
        <v>27</v>
      </c>
      <c r="E251" t="s">
        <v>55</v>
      </c>
      <c r="F251" t="s">
        <v>22</v>
      </c>
      <c r="G251">
        <v>81</v>
      </c>
      <c r="H251" t="s">
        <v>38</v>
      </c>
      <c r="I251" t="s">
        <v>41</v>
      </c>
      <c r="J251" t="s">
        <v>42</v>
      </c>
    </row>
    <row r="252" spans="1:10" x14ac:dyDescent="0.35">
      <c r="A252">
        <v>251</v>
      </c>
      <c r="B252" t="s">
        <v>46</v>
      </c>
      <c r="C252" t="s">
        <v>45</v>
      </c>
      <c r="D252" t="s">
        <v>20</v>
      </c>
      <c r="E252" t="s">
        <v>40</v>
      </c>
      <c r="F252" t="s">
        <v>32</v>
      </c>
      <c r="G252">
        <v>97</v>
      </c>
      <c r="H252" t="s">
        <v>15</v>
      </c>
      <c r="I252" t="s">
        <v>24</v>
      </c>
      <c r="J252" t="s">
        <v>34</v>
      </c>
    </row>
    <row r="253" spans="1:10" x14ac:dyDescent="0.35">
      <c r="A253">
        <v>252</v>
      </c>
      <c r="B253" t="s">
        <v>35</v>
      </c>
      <c r="C253" t="s">
        <v>30</v>
      </c>
      <c r="D253" t="s">
        <v>51</v>
      </c>
      <c r="E253" t="s">
        <v>40</v>
      </c>
      <c r="F253" t="s">
        <v>14</v>
      </c>
      <c r="G253">
        <v>224</v>
      </c>
      <c r="H253" t="s">
        <v>38</v>
      </c>
      <c r="I253" t="s">
        <v>16</v>
      </c>
      <c r="J253" t="s">
        <v>56</v>
      </c>
    </row>
    <row r="254" spans="1:10" x14ac:dyDescent="0.35">
      <c r="A254">
        <v>253</v>
      </c>
      <c r="B254" t="s">
        <v>58</v>
      </c>
      <c r="C254" t="s">
        <v>11</v>
      </c>
      <c r="D254" t="s">
        <v>36</v>
      </c>
      <c r="E254" t="s">
        <v>28</v>
      </c>
      <c r="F254" t="s">
        <v>14</v>
      </c>
      <c r="G254">
        <v>213</v>
      </c>
      <c r="H254" t="s">
        <v>38</v>
      </c>
      <c r="I254" t="s">
        <v>16</v>
      </c>
      <c r="J254" t="s">
        <v>52</v>
      </c>
    </row>
    <row r="255" spans="1:10" x14ac:dyDescent="0.35">
      <c r="A255">
        <v>254</v>
      </c>
      <c r="B255" t="s">
        <v>18</v>
      </c>
      <c r="C255" t="s">
        <v>11</v>
      </c>
      <c r="D255" t="s">
        <v>51</v>
      </c>
      <c r="E255" t="s">
        <v>40</v>
      </c>
      <c r="F255" t="s">
        <v>32</v>
      </c>
      <c r="G255">
        <v>109</v>
      </c>
      <c r="H255" t="s">
        <v>38</v>
      </c>
      <c r="I255" t="s">
        <v>41</v>
      </c>
      <c r="J255" t="s">
        <v>50</v>
      </c>
    </row>
    <row r="256" spans="1:10" x14ac:dyDescent="0.35">
      <c r="A256">
        <v>255</v>
      </c>
      <c r="B256" t="s">
        <v>18</v>
      </c>
      <c r="C256" t="s">
        <v>26</v>
      </c>
      <c r="D256" t="s">
        <v>27</v>
      </c>
      <c r="E256" t="s">
        <v>48</v>
      </c>
      <c r="F256" t="s">
        <v>22</v>
      </c>
      <c r="G256">
        <v>149</v>
      </c>
      <c r="H256" t="s">
        <v>15</v>
      </c>
      <c r="I256" t="s">
        <v>24</v>
      </c>
      <c r="J256" t="s">
        <v>54</v>
      </c>
    </row>
    <row r="257" spans="1:10" x14ac:dyDescent="0.35">
      <c r="A257">
        <v>256</v>
      </c>
      <c r="B257" t="s">
        <v>10</v>
      </c>
      <c r="C257" t="s">
        <v>19</v>
      </c>
      <c r="D257" t="s">
        <v>51</v>
      </c>
      <c r="E257" t="s">
        <v>28</v>
      </c>
      <c r="F257" t="s">
        <v>14</v>
      </c>
      <c r="G257">
        <v>85</v>
      </c>
      <c r="H257" t="s">
        <v>15</v>
      </c>
      <c r="I257" t="s">
        <v>24</v>
      </c>
      <c r="J257" t="s">
        <v>34</v>
      </c>
    </row>
    <row r="258" spans="1:10" x14ac:dyDescent="0.35">
      <c r="A258">
        <v>257</v>
      </c>
      <c r="B258" t="s">
        <v>44</v>
      </c>
      <c r="C258" t="s">
        <v>45</v>
      </c>
      <c r="D258" t="s">
        <v>20</v>
      </c>
      <c r="E258" t="s">
        <v>60</v>
      </c>
      <c r="F258" t="s">
        <v>32</v>
      </c>
      <c r="G258">
        <v>169</v>
      </c>
      <c r="H258" t="s">
        <v>23</v>
      </c>
      <c r="I258" t="s">
        <v>24</v>
      </c>
      <c r="J258" t="s">
        <v>43</v>
      </c>
    </row>
    <row r="259" spans="1:10" x14ac:dyDescent="0.35">
      <c r="A259">
        <v>258</v>
      </c>
      <c r="B259" t="s">
        <v>58</v>
      </c>
      <c r="C259" t="s">
        <v>47</v>
      </c>
      <c r="D259" t="s">
        <v>20</v>
      </c>
      <c r="E259" t="s">
        <v>40</v>
      </c>
      <c r="F259" t="s">
        <v>22</v>
      </c>
      <c r="G259">
        <v>111</v>
      </c>
      <c r="H259" t="s">
        <v>23</v>
      </c>
      <c r="I259" t="s">
        <v>24</v>
      </c>
      <c r="J259" t="s">
        <v>52</v>
      </c>
    </row>
    <row r="260" spans="1:10" x14ac:dyDescent="0.35">
      <c r="A260">
        <v>259</v>
      </c>
      <c r="B260" t="s">
        <v>46</v>
      </c>
      <c r="C260" t="s">
        <v>45</v>
      </c>
      <c r="D260" t="s">
        <v>27</v>
      </c>
      <c r="E260" t="s">
        <v>31</v>
      </c>
      <c r="F260" t="s">
        <v>32</v>
      </c>
      <c r="G260">
        <v>268</v>
      </c>
      <c r="H260" t="s">
        <v>53</v>
      </c>
      <c r="I260" t="s">
        <v>16</v>
      </c>
      <c r="J260" t="s">
        <v>25</v>
      </c>
    </row>
    <row r="261" spans="1:10" x14ac:dyDescent="0.35">
      <c r="A261">
        <v>260</v>
      </c>
      <c r="B261" t="s">
        <v>18</v>
      </c>
      <c r="C261" t="s">
        <v>30</v>
      </c>
      <c r="D261" t="s">
        <v>20</v>
      </c>
      <c r="E261" t="s">
        <v>13</v>
      </c>
      <c r="F261" t="s">
        <v>14</v>
      </c>
      <c r="G261">
        <v>29</v>
      </c>
      <c r="H261" t="s">
        <v>23</v>
      </c>
      <c r="I261" t="s">
        <v>16</v>
      </c>
      <c r="J261" t="s">
        <v>39</v>
      </c>
    </row>
    <row r="262" spans="1:10" x14ac:dyDescent="0.35">
      <c r="A262">
        <v>261</v>
      </c>
      <c r="B262" t="s">
        <v>58</v>
      </c>
      <c r="C262" t="s">
        <v>45</v>
      </c>
      <c r="D262" t="s">
        <v>12</v>
      </c>
      <c r="E262" t="s">
        <v>48</v>
      </c>
      <c r="F262" t="s">
        <v>32</v>
      </c>
      <c r="G262">
        <v>206</v>
      </c>
      <c r="H262" t="s">
        <v>23</v>
      </c>
      <c r="I262" t="s">
        <v>41</v>
      </c>
      <c r="J262" t="s">
        <v>49</v>
      </c>
    </row>
    <row r="263" spans="1:10" x14ac:dyDescent="0.35">
      <c r="A263">
        <v>262</v>
      </c>
      <c r="B263" t="s">
        <v>18</v>
      </c>
      <c r="C263" t="s">
        <v>11</v>
      </c>
      <c r="D263" t="s">
        <v>27</v>
      </c>
      <c r="E263" t="s">
        <v>37</v>
      </c>
      <c r="F263" t="s">
        <v>14</v>
      </c>
      <c r="G263">
        <v>267</v>
      </c>
      <c r="H263" t="s">
        <v>38</v>
      </c>
      <c r="I263" t="s">
        <v>16</v>
      </c>
      <c r="J263" t="s">
        <v>52</v>
      </c>
    </row>
    <row r="264" spans="1:10" x14ac:dyDescent="0.35">
      <c r="A264">
        <v>263</v>
      </c>
      <c r="B264" t="s">
        <v>35</v>
      </c>
      <c r="C264" t="s">
        <v>19</v>
      </c>
      <c r="D264" t="s">
        <v>12</v>
      </c>
      <c r="E264" t="s">
        <v>40</v>
      </c>
      <c r="F264" t="s">
        <v>32</v>
      </c>
      <c r="G264">
        <v>144</v>
      </c>
      <c r="H264" t="s">
        <v>15</v>
      </c>
      <c r="I264" t="s">
        <v>16</v>
      </c>
      <c r="J264" t="s">
        <v>17</v>
      </c>
    </row>
    <row r="265" spans="1:10" x14ac:dyDescent="0.35">
      <c r="A265">
        <v>264</v>
      </c>
      <c r="B265" t="s">
        <v>58</v>
      </c>
      <c r="C265" t="s">
        <v>19</v>
      </c>
      <c r="D265" t="s">
        <v>27</v>
      </c>
      <c r="E265" t="s">
        <v>31</v>
      </c>
      <c r="F265" t="s">
        <v>32</v>
      </c>
      <c r="G265">
        <v>107</v>
      </c>
      <c r="H265" t="s">
        <v>53</v>
      </c>
      <c r="I265" t="s">
        <v>41</v>
      </c>
      <c r="J265" t="s">
        <v>43</v>
      </c>
    </row>
    <row r="266" spans="1:10" x14ac:dyDescent="0.35">
      <c r="A266">
        <v>265</v>
      </c>
      <c r="B266" t="s">
        <v>58</v>
      </c>
      <c r="C266" t="s">
        <v>11</v>
      </c>
      <c r="D266" t="s">
        <v>51</v>
      </c>
      <c r="E266" t="s">
        <v>40</v>
      </c>
      <c r="F266" t="s">
        <v>14</v>
      </c>
      <c r="G266">
        <v>82</v>
      </c>
      <c r="H266" t="s">
        <v>38</v>
      </c>
      <c r="I266" t="s">
        <v>41</v>
      </c>
      <c r="J266" t="s">
        <v>50</v>
      </c>
    </row>
    <row r="267" spans="1:10" x14ac:dyDescent="0.35">
      <c r="A267">
        <v>266</v>
      </c>
      <c r="B267" t="s">
        <v>44</v>
      </c>
      <c r="C267" t="s">
        <v>26</v>
      </c>
      <c r="D267" t="s">
        <v>36</v>
      </c>
      <c r="E267" t="s">
        <v>21</v>
      </c>
      <c r="F267" t="s">
        <v>22</v>
      </c>
      <c r="G267">
        <v>154</v>
      </c>
      <c r="H267" t="s">
        <v>23</v>
      </c>
      <c r="I267" t="s">
        <v>16</v>
      </c>
      <c r="J267" t="s">
        <v>54</v>
      </c>
    </row>
    <row r="268" spans="1:10" x14ac:dyDescent="0.35">
      <c r="A268">
        <v>267</v>
      </c>
      <c r="B268" t="s">
        <v>44</v>
      </c>
      <c r="C268" t="s">
        <v>30</v>
      </c>
      <c r="D268" t="s">
        <v>12</v>
      </c>
      <c r="E268" t="s">
        <v>60</v>
      </c>
      <c r="F268" t="s">
        <v>32</v>
      </c>
      <c r="G268">
        <v>192</v>
      </c>
      <c r="H268" t="s">
        <v>53</v>
      </c>
      <c r="I268" t="s">
        <v>24</v>
      </c>
      <c r="J268" t="s">
        <v>57</v>
      </c>
    </row>
    <row r="269" spans="1:10" x14ac:dyDescent="0.35">
      <c r="A269">
        <v>268</v>
      </c>
      <c r="B269" t="s">
        <v>35</v>
      </c>
      <c r="C269" t="s">
        <v>26</v>
      </c>
      <c r="D269" t="s">
        <v>36</v>
      </c>
      <c r="E269" t="s">
        <v>60</v>
      </c>
      <c r="F269" t="s">
        <v>22</v>
      </c>
      <c r="G269">
        <v>52</v>
      </c>
      <c r="H269" t="s">
        <v>53</v>
      </c>
      <c r="I269" t="s">
        <v>24</v>
      </c>
      <c r="J269" t="s">
        <v>34</v>
      </c>
    </row>
    <row r="270" spans="1:10" x14ac:dyDescent="0.35">
      <c r="A270">
        <v>269</v>
      </c>
      <c r="B270" t="s">
        <v>44</v>
      </c>
      <c r="C270" t="s">
        <v>19</v>
      </c>
      <c r="D270" t="s">
        <v>27</v>
      </c>
      <c r="E270" t="s">
        <v>48</v>
      </c>
      <c r="F270" t="s">
        <v>32</v>
      </c>
      <c r="G270">
        <v>248</v>
      </c>
      <c r="H270" t="s">
        <v>38</v>
      </c>
      <c r="I270" t="s">
        <v>41</v>
      </c>
      <c r="J270" t="s">
        <v>25</v>
      </c>
    </row>
    <row r="271" spans="1:10" x14ac:dyDescent="0.35">
      <c r="A271">
        <v>270</v>
      </c>
      <c r="B271" t="s">
        <v>10</v>
      </c>
      <c r="C271" t="s">
        <v>19</v>
      </c>
      <c r="D271" t="s">
        <v>51</v>
      </c>
      <c r="E271" t="s">
        <v>37</v>
      </c>
      <c r="F271" t="s">
        <v>14</v>
      </c>
      <c r="G271">
        <v>231</v>
      </c>
      <c r="H271" t="s">
        <v>29</v>
      </c>
      <c r="I271" t="s">
        <v>16</v>
      </c>
      <c r="J271" t="s">
        <v>25</v>
      </c>
    </row>
    <row r="272" spans="1:10" x14ac:dyDescent="0.35">
      <c r="A272">
        <v>271</v>
      </c>
      <c r="B272" t="s">
        <v>44</v>
      </c>
      <c r="C272" t="s">
        <v>11</v>
      </c>
      <c r="D272" t="s">
        <v>27</v>
      </c>
      <c r="E272" t="s">
        <v>13</v>
      </c>
      <c r="F272" t="s">
        <v>22</v>
      </c>
      <c r="G272">
        <v>230</v>
      </c>
      <c r="H272" t="s">
        <v>33</v>
      </c>
      <c r="I272" t="s">
        <v>41</v>
      </c>
      <c r="J272" t="s">
        <v>50</v>
      </c>
    </row>
    <row r="273" spans="1:10" x14ac:dyDescent="0.35">
      <c r="A273">
        <v>272</v>
      </c>
      <c r="B273" t="s">
        <v>46</v>
      </c>
      <c r="C273" t="s">
        <v>11</v>
      </c>
      <c r="D273" t="s">
        <v>36</v>
      </c>
      <c r="E273" t="s">
        <v>40</v>
      </c>
      <c r="F273" t="s">
        <v>32</v>
      </c>
      <c r="G273">
        <v>175</v>
      </c>
      <c r="H273" t="s">
        <v>33</v>
      </c>
      <c r="I273" t="s">
        <v>16</v>
      </c>
      <c r="J273" t="s">
        <v>34</v>
      </c>
    </row>
    <row r="274" spans="1:10" x14ac:dyDescent="0.35">
      <c r="A274">
        <v>273</v>
      </c>
      <c r="B274" t="s">
        <v>18</v>
      </c>
      <c r="C274" t="s">
        <v>11</v>
      </c>
      <c r="D274" t="s">
        <v>20</v>
      </c>
      <c r="E274" t="s">
        <v>40</v>
      </c>
      <c r="F274" t="s">
        <v>32</v>
      </c>
      <c r="G274">
        <v>43</v>
      </c>
      <c r="H274" t="s">
        <v>33</v>
      </c>
      <c r="I274" t="s">
        <v>24</v>
      </c>
      <c r="J274" t="s">
        <v>57</v>
      </c>
    </row>
    <row r="275" spans="1:10" x14ac:dyDescent="0.35">
      <c r="A275">
        <v>274</v>
      </c>
      <c r="B275" t="s">
        <v>46</v>
      </c>
      <c r="C275" t="s">
        <v>47</v>
      </c>
      <c r="D275" t="s">
        <v>27</v>
      </c>
      <c r="E275" t="s">
        <v>55</v>
      </c>
      <c r="F275" t="s">
        <v>32</v>
      </c>
      <c r="G275">
        <v>269</v>
      </c>
      <c r="H275" t="s">
        <v>15</v>
      </c>
      <c r="I275" t="s">
        <v>41</v>
      </c>
      <c r="J275" t="s">
        <v>54</v>
      </c>
    </row>
    <row r="276" spans="1:10" x14ac:dyDescent="0.35">
      <c r="A276">
        <v>275</v>
      </c>
      <c r="B276" t="s">
        <v>10</v>
      </c>
      <c r="C276" t="s">
        <v>11</v>
      </c>
      <c r="D276" t="s">
        <v>51</v>
      </c>
      <c r="E276" t="s">
        <v>28</v>
      </c>
      <c r="F276" t="s">
        <v>22</v>
      </c>
      <c r="G276">
        <v>117</v>
      </c>
      <c r="H276" t="s">
        <v>53</v>
      </c>
      <c r="I276" t="s">
        <v>41</v>
      </c>
      <c r="J276" t="s">
        <v>17</v>
      </c>
    </row>
    <row r="277" spans="1:10" x14ac:dyDescent="0.35">
      <c r="A277">
        <v>276</v>
      </c>
      <c r="B277" t="s">
        <v>10</v>
      </c>
      <c r="C277" t="s">
        <v>45</v>
      </c>
      <c r="D277" t="s">
        <v>51</v>
      </c>
      <c r="E277" t="s">
        <v>59</v>
      </c>
      <c r="F277" t="s">
        <v>14</v>
      </c>
      <c r="G277">
        <v>32</v>
      </c>
      <c r="H277" t="s">
        <v>15</v>
      </c>
      <c r="I277" t="s">
        <v>24</v>
      </c>
      <c r="J277" t="s">
        <v>56</v>
      </c>
    </row>
    <row r="278" spans="1:10" x14ac:dyDescent="0.35">
      <c r="A278">
        <v>277</v>
      </c>
      <c r="B278" t="s">
        <v>18</v>
      </c>
      <c r="C278" t="s">
        <v>19</v>
      </c>
      <c r="D278" t="s">
        <v>12</v>
      </c>
      <c r="E278" t="s">
        <v>55</v>
      </c>
      <c r="F278" t="s">
        <v>32</v>
      </c>
      <c r="G278">
        <v>255</v>
      </c>
      <c r="H278" t="s">
        <v>23</v>
      </c>
      <c r="I278" t="s">
        <v>24</v>
      </c>
      <c r="J278" t="s">
        <v>50</v>
      </c>
    </row>
    <row r="279" spans="1:10" x14ac:dyDescent="0.35">
      <c r="A279">
        <v>278</v>
      </c>
      <c r="B279" t="s">
        <v>46</v>
      </c>
      <c r="C279" t="s">
        <v>26</v>
      </c>
      <c r="D279" t="s">
        <v>36</v>
      </c>
      <c r="E279" t="s">
        <v>31</v>
      </c>
      <c r="F279" t="s">
        <v>22</v>
      </c>
      <c r="G279">
        <v>108</v>
      </c>
      <c r="H279" t="s">
        <v>53</v>
      </c>
      <c r="I279" t="s">
        <v>24</v>
      </c>
      <c r="J279" t="s">
        <v>39</v>
      </c>
    </row>
    <row r="280" spans="1:10" x14ac:dyDescent="0.35">
      <c r="A280">
        <v>279</v>
      </c>
      <c r="B280" t="s">
        <v>35</v>
      </c>
      <c r="C280" t="s">
        <v>11</v>
      </c>
      <c r="D280" t="s">
        <v>20</v>
      </c>
      <c r="E280" t="s">
        <v>48</v>
      </c>
      <c r="F280" t="s">
        <v>22</v>
      </c>
      <c r="G280">
        <v>207</v>
      </c>
      <c r="H280" t="s">
        <v>33</v>
      </c>
      <c r="I280" t="s">
        <v>41</v>
      </c>
      <c r="J280" t="s">
        <v>17</v>
      </c>
    </row>
    <row r="281" spans="1:10" x14ac:dyDescent="0.35">
      <c r="A281">
        <v>280</v>
      </c>
      <c r="B281" t="s">
        <v>46</v>
      </c>
      <c r="C281" t="s">
        <v>11</v>
      </c>
      <c r="D281" t="s">
        <v>27</v>
      </c>
      <c r="E281" t="s">
        <v>60</v>
      </c>
      <c r="F281" t="s">
        <v>14</v>
      </c>
      <c r="G281">
        <v>197</v>
      </c>
      <c r="H281" t="s">
        <v>33</v>
      </c>
      <c r="I281" t="s">
        <v>24</v>
      </c>
      <c r="J281" t="s">
        <v>25</v>
      </c>
    </row>
    <row r="282" spans="1:10" x14ac:dyDescent="0.35">
      <c r="A282">
        <v>281</v>
      </c>
      <c r="B282" t="s">
        <v>58</v>
      </c>
      <c r="C282" t="s">
        <v>11</v>
      </c>
      <c r="D282" t="s">
        <v>20</v>
      </c>
      <c r="E282" t="s">
        <v>59</v>
      </c>
      <c r="F282" t="s">
        <v>32</v>
      </c>
      <c r="G282">
        <v>235</v>
      </c>
      <c r="H282" t="s">
        <v>23</v>
      </c>
      <c r="I282" t="s">
        <v>24</v>
      </c>
      <c r="J282" t="s">
        <v>43</v>
      </c>
    </row>
    <row r="283" spans="1:10" x14ac:dyDescent="0.35">
      <c r="A283">
        <v>282</v>
      </c>
      <c r="B283" t="s">
        <v>58</v>
      </c>
      <c r="C283" t="s">
        <v>11</v>
      </c>
      <c r="D283" t="s">
        <v>27</v>
      </c>
      <c r="E283" t="s">
        <v>31</v>
      </c>
      <c r="F283" t="s">
        <v>14</v>
      </c>
      <c r="G283">
        <v>32</v>
      </c>
      <c r="H283" t="s">
        <v>15</v>
      </c>
      <c r="I283" t="s">
        <v>16</v>
      </c>
      <c r="J283" t="s">
        <v>43</v>
      </c>
    </row>
    <row r="284" spans="1:10" x14ac:dyDescent="0.35">
      <c r="A284">
        <v>283</v>
      </c>
      <c r="B284" t="s">
        <v>44</v>
      </c>
      <c r="C284" t="s">
        <v>11</v>
      </c>
      <c r="D284" t="s">
        <v>12</v>
      </c>
      <c r="E284" t="s">
        <v>48</v>
      </c>
      <c r="F284" t="s">
        <v>32</v>
      </c>
      <c r="G284">
        <v>45</v>
      </c>
      <c r="H284" t="s">
        <v>53</v>
      </c>
      <c r="I284" t="s">
        <v>16</v>
      </c>
      <c r="J284" t="s">
        <v>49</v>
      </c>
    </row>
    <row r="285" spans="1:10" x14ac:dyDescent="0.35">
      <c r="A285">
        <v>284</v>
      </c>
      <c r="B285" t="s">
        <v>58</v>
      </c>
      <c r="C285" t="s">
        <v>47</v>
      </c>
      <c r="D285" t="s">
        <v>12</v>
      </c>
      <c r="E285" t="s">
        <v>55</v>
      </c>
      <c r="F285" t="s">
        <v>22</v>
      </c>
      <c r="G285">
        <v>143</v>
      </c>
      <c r="H285" t="s">
        <v>23</v>
      </c>
      <c r="I285" t="s">
        <v>41</v>
      </c>
      <c r="J285" t="s">
        <v>49</v>
      </c>
    </row>
    <row r="286" spans="1:10" x14ac:dyDescent="0.35">
      <c r="A286">
        <v>285</v>
      </c>
      <c r="B286" t="s">
        <v>46</v>
      </c>
      <c r="C286" t="s">
        <v>19</v>
      </c>
      <c r="D286" t="s">
        <v>12</v>
      </c>
      <c r="E286" t="s">
        <v>59</v>
      </c>
      <c r="F286" t="s">
        <v>14</v>
      </c>
      <c r="G286">
        <v>205</v>
      </c>
      <c r="H286" t="s">
        <v>53</v>
      </c>
      <c r="I286" t="s">
        <v>24</v>
      </c>
      <c r="J286" t="s">
        <v>49</v>
      </c>
    </row>
    <row r="287" spans="1:10" x14ac:dyDescent="0.35">
      <c r="A287">
        <v>286</v>
      </c>
      <c r="B287" t="s">
        <v>10</v>
      </c>
      <c r="C287" t="s">
        <v>26</v>
      </c>
      <c r="D287" t="s">
        <v>27</v>
      </c>
      <c r="E287" t="s">
        <v>31</v>
      </c>
      <c r="F287" t="s">
        <v>14</v>
      </c>
      <c r="G287">
        <v>205</v>
      </c>
      <c r="H287" t="s">
        <v>15</v>
      </c>
      <c r="I287" t="s">
        <v>24</v>
      </c>
      <c r="J287" t="s">
        <v>43</v>
      </c>
    </row>
    <row r="288" spans="1:10" x14ac:dyDescent="0.35">
      <c r="A288">
        <v>287</v>
      </c>
      <c r="B288" t="s">
        <v>18</v>
      </c>
      <c r="C288" t="s">
        <v>11</v>
      </c>
      <c r="D288" t="s">
        <v>12</v>
      </c>
      <c r="E288" t="s">
        <v>55</v>
      </c>
      <c r="F288" t="s">
        <v>32</v>
      </c>
      <c r="G288">
        <v>43</v>
      </c>
      <c r="H288" t="s">
        <v>15</v>
      </c>
      <c r="I288" t="s">
        <v>24</v>
      </c>
      <c r="J288" t="s">
        <v>57</v>
      </c>
    </row>
    <row r="289" spans="1:10" x14ac:dyDescent="0.35">
      <c r="A289">
        <v>288</v>
      </c>
      <c r="B289" t="s">
        <v>44</v>
      </c>
      <c r="C289" t="s">
        <v>11</v>
      </c>
      <c r="D289" t="s">
        <v>12</v>
      </c>
      <c r="E289" t="s">
        <v>59</v>
      </c>
      <c r="F289" t="s">
        <v>14</v>
      </c>
      <c r="G289">
        <v>105</v>
      </c>
      <c r="H289" t="s">
        <v>29</v>
      </c>
      <c r="I289" t="s">
        <v>41</v>
      </c>
      <c r="J289" t="s">
        <v>50</v>
      </c>
    </row>
    <row r="290" spans="1:10" x14ac:dyDescent="0.35">
      <c r="A290">
        <v>289</v>
      </c>
      <c r="B290" t="s">
        <v>58</v>
      </c>
      <c r="C290" t="s">
        <v>47</v>
      </c>
      <c r="D290" t="s">
        <v>12</v>
      </c>
      <c r="E290" t="s">
        <v>13</v>
      </c>
      <c r="F290" t="s">
        <v>14</v>
      </c>
      <c r="G290">
        <v>161</v>
      </c>
      <c r="H290" t="s">
        <v>53</v>
      </c>
      <c r="I290" t="s">
        <v>41</v>
      </c>
      <c r="J290" t="s">
        <v>42</v>
      </c>
    </row>
    <row r="291" spans="1:10" x14ac:dyDescent="0.35">
      <c r="A291">
        <v>290</v>
      </c>
      <c r="B291" t="s">
        <v>10</v>
      </c>
      <c r="C291" t="s">
        <v>11</v>
      </c>
      <c r="D291" t="s">
        <v>27</v>
      </c>
      <c r="E291" t="s">
        <v>40</v>
      </c>
      <c r="F291" t="s">
        <v>14</v>
      </c>
      <c r="G291">
        <v>42</v>
      </c>
      <c r="H291" t="s">
        <v>15</v>
      </c>
      <c r="I291" t="s">
        <v>41</v>
      </c>
      <c r="J291" t="s">
        <v>39</v>
      </c>
    </row>
    <row r="292" spans="1:10" x14ac:dyDescent="0.35">
      <c r="A292">
        <v>291</v>
      </c>
      <c r="B292" t="s">
        <v>46</v>
      </c>
      <c r="C292" t="s">
        <v>30</v>
      </c>
      <c r="D292" t="s">
        <v>36</v>
      </c>
      <c r="E292" t="s">
        <v>28</v>
      </c>
      <c r="F292" t="s">
        <v>32</v>
      </c>
      <c r="G292">
        <v>252</v>
      </c>
      <c r="H292" t="s">
        <v>53</v>
      </c>
      <c r="I292" t="s">
        <v>16</v>
      </c>
      <c r="J292" t="s">
        <v>42</v>
      </c>
    </row>
    <row r="293" spans="1:10" x14ac:dyDescent="0.35">
      <c r="A293">
        <v>292</v>
      </c>
      <c r="B293" t="s">
        <v>44</v>
      </c>
      <c r="C293" t="s">
        <v>26</v>
      </c>
      <c r="D293" t="s">
        <v>20</v>
      </c>
      <c r="E293" t="s">
        <v>28</v>
      </c>
      <c r="F293" t="s">
        <v>14</v>
      </c>
      <c r="G293">
        <v>74</v>
      </c>
      <c r="H293" t="s">
        <v>29</v>
      </c>
      <c r="I293" t="s">
        <v>24</v>
      </c>
      <c r="J293" t="s">
        <v>34</v>
      </c>
    </row>
    <row r="294" spans="1:10" x14ac:dyDescent="0.35">
      <c r="A294">
        <v>293</v>
      </c>
      <c r="B294" t="s">
        <v>58</v>
      </c>
      <c r="C294" t="s">
        <v>47</v>
      </c>
      <c r="D294" t="s">
        <v>36</v>
      </c>
      <c r="E294" t="s">
        <v>31</v>
      </c>
      <c r="F294" t="s">
        <v>22</v>
      </c>
      <c r="G294">
        <v>87</v>
      </c>
      <c r="H294" t="s">
        <v>53</v>
      </c>
      <c r="I294" t="s">
        <v>24</v>
      </c>
      <c r="J294" t="s">
        <v>43</v>
      </c>
    </row>
    <row r="295" spans="1:10" x14ac:dyDescent="0.35">
      <c r="A295">
        <v>294</v>
      </c>
      <c r="B295" t="s">
        <v>10</v>
      </c>
      <c r="C295" t="s">
        <v>19</v>
      </c>
      <c r="D295" t="s">
        <v>27</v>
      </c>
      <c r="E295" t="s">
        <v>31</v>
      </c>
      <c r="F295" t="s">
        <v>14</v>
      </c>
      <c r="G295">
        <v>213</v>
      </c>
      <c r="H295" t="s">
        <v>15</v>
      </c>
      <c r="I295" t="s">
        <v>41</v>
      </c>
      <c r="J295" t="s">
        <v>39</v>
      </c>
    </row>
    <row r="296" spans="1:10" x14ac:dyDescent="0.35">
      <c r="A296">
        <v>295</v>
      </c>
      <c r="B296" t="s">
        <v>46</v>
      </c>
      <c r="C296" t="s">
        <v>45</v>
      </c>
      <c r="D296" t="s">
        <v>12</v>
      </c>
      <c r="E296" t="s">
        <v>40</v>
      </c>
      <c r="F296" t="s">
        <v>32</v>
      </c>
      <c r="G296">
        <v>97</v>
      </c>
      <c r="H296" t="s">
        <v>53</v>
      </c>
      <c r="I296" t="s">
        <v>16</v>
      </c>
      <c r="J296" t="s">
        <v>57</v>
      </c>
    </row>
    <row r="297" spans="1:10" x14ac:dyDescent="0.35">
      <c r="A297">
        <v>296</v>
      </c>
      <c r="B297" t="s">
        <v>18</v>
      </c>
      <c r="C297" t="s">
        <v>26</v>
      </c>
      <c r="D297" t="s">
        <v>36</v>
      </c>
      <c r="E297" t="s">
        <v>31</v>
      </c>
      <c r="F297" t="s">
        <v>32</v>
      </c>
      <c r="G297">
        <v>297</v>
      </c>
      <c r="H297" t="s">
        <v>33</v>
      </c>
      <c r="I297" t="s">
        <v>24</v>
      </c>
      <c r="J297" t="s">
        <v>50</v>
      </c>
    </row>
    <row r="298" spans="1:10" x14ac:dyDescent="0.35">
      <c r="A298">
        <v>297</v>
      </c>
      <c r="B298" t="s">
        <v>35</v>
      </c>
      <c r="C298" t="s">
        <v>19</v>
      </c>
      <c r="D298" t="s">
        <v>51</v>
      </c>
      <c r="E298" t="s">
        <v>59</v>
      </c>
      <c r="F298" t="s">
        <v>14</v>
      </c>
      <c r="G298">
        <v>104</v>
      </c>
      <c r="H298" t="s">
        <v>29</v>
      </c>
      <c r="I298" t="s">
        <v>24</v>
      </c>
      <c r="J298" t="s">
        <v>56</v>
      </c>
    </row>
    <row r="299" spans="1:10" x14ac:dyDescent="0.35">
      <c r="A299">
        <v>298</v>
      </c>
      <c r="B299" t="s">
        <v>46</v>
      </c>
      <c r="C299" t="s">
        <v>47</v>
      </c>
      <c r="D299" t="s">
        <v>12</v>
      </c>
      <c r="E299" t="s">
        <v>37</v>
      </c>
      <c r="F299" t="s">
        <v>14</v>
      </c>
      <c r="G299">
        <v>178</v>
      </c>
      <c r="H299" t="s">
        <v>38</v>
      </c>
      <c r="I299" t="s">
        <v>16</v>
      </c>
      <c r="J299" t="s">
        <v>52</v>
      </c>
    </row>
    <row r="300" spans="1:10" x14ac:dyDescent="0.35">
      <c r="A300">
        <v>299</v>
      </c>
      <c r="B300" t="s">
        <v>10</v>
      </c>
      <c r="C300" t="s">
        <v>45</v>
      </c>
      <c r="D300" t="s">
        <v>51</v>
      </c>
      <c r="E300" t="s">
        <v>21</v>
      </c>
      <c r="F300" t="s">
        <v>32</v>
      </c>
      <c r="G300">
        <v>42</v>
      </c>
      <c r="H300" t="s">
        <v>53</v>
      </c>
      <c r="I300" t="s">
        <v>16</v>
      </c>
      <c r="J300" t="s">
        <v>50</v>
      </c>
    </row>
    <row r="301" spans="1:10" x14ac:dyDescent="0.35">
      <c r="A301">
        <v>300</v>
      </c>
      <c r="B301" t="s">
        <v>46</v>
      </c>
      <c r="C301" t="s">
        <v>19</v>
      </c>
      <c r="D301" t="s">
        <v>27</v>
      </c>
      <c r="E301" t="s">
        <v>37</v>
      </c>
      <c r="F301" t="s">
        <v>32</v>
      </c>
      <c r="G301">
        <v>64</v>
      </c>
      <c r="H301" t="s">
        <v>33</v>
      </c>
      <c r="I301" t="s">
        <v>41</v>
      </c>
      <c r="J301" t="s">
        <v>25</v>
      </c>
    </row>
    <row r="302" spans="1:10" x14ac:dyDescent="0.35">
      <c r="A302">
        <v>301</v>
      </c>
      <c r="B302" t="s">
        <v>10</v>
      </c>
      <c r="C302" t="s">
        <v>30</v>
      </c>
      <c r="D302" t="s">
        <v>51</v>
      </c>
      <c r="E302" t="s">
        <v>31</v>
      </c>
      <c r="F302" t="s">
        <v>14</v>
      </c>
      <c r="G302">
        <v>104</v>
      </c>
      <c r="H302" t="s">
        <v>15</v>
      </c>
      <c r="I302" t="s">
        <v>16</v>
      </c>
      <c r="J302" t="s">
        <v>49</v>
      </c>
    </row>
    <row r="303" spans="1:10" x14ac:dyDescent="0.35">
      <c r="A303">
        <v>302</v>
      </c>
      <c r="B303" t="s">
        <v>46</v>
      </c>
      <c r="C303" t="s">
        <v>26</v>
      </c>
      <c r="D303" t="s">
        <v>51</v>
      </c>
      <c r="E303" t="s">
        <v>55</v>
      </c>
      <c r="F303" t="s">
        <v>32</v>
      </c>
      <c r="G303">
        <v>189</v>
      </c>
      <c r="H303" t="s">
        <v>33</v>
      </c>
      <c r="I303" t="s">
        <v>16</v>
      </c>
      <c r="J303" t="s">
        <v>49</v>
      </c>
    </row>
    <row r="304" spans="1:10" x14ac:dyDescent="0.35">
      <c r="A304">
        <v>303</v>
      </c>
      <c r="B304" t="s">
        <v>46</v>
      </c>
      <c r="C304" t="s">
        <v>19</v>
      </c>
      <c r="D304" t="s">
        <v>51</v>
      </c>
      <c r="E304" t="s">
        <v>40</v>
      </c>
      <c r="F304" t="s">
        <v>14</v>
      </c>
      <c r="G304">
        <v>113</v>
      </c>
      <c r="H304" t="s">
        <v>15</v>
      </c>
      <c r="I304" t="s">
        <v>41</v>
      </c>
      <c r="J304" t="s">
        <v>54</v>
      </c>
    </row>
    <row r="305" spans="1:10" x14ac:dyDescent="0.35">
      <c r="A305">
        <v>304</v>
      </c>
      <c r="B305" t="s">
        <v>18</v>
      </c>
      <c r="C305" t="s">
        <v>45</v>
      </c>
      <c r="D305" t="s">
        <v>51</v>
      </c>
      <c r="E305" t="s">
        <v>48</v>
      </c>
      <c r="F305" t="s">
        <v>22</v>
      </c>
      <c r="G305">
        <v>173</v>
      </c>
      <c r="H305" t="s">
        <v>29</v>
      </c>
      <c r="I305" t="s">
        <v>16</v>
      </c>
      <c r="J305" t="s">
        <v>52</v>
      </c>
    </row>
    <row r="306" spans="1:10" x14ac:dyDescent="0.35">
      <c r="A306">
        <v>305</v>
      </c>
      <c r="B306" t="s">
        <v>46</v>
      </c>
      <c r="C306" t="s">
        <v>47</v>
      </c>
      <c r="D306" t="s">
        <v>36</v>
      </c>
      <c r="E306" t="s">
        <v>59</v>
      </c>
      <c r="F306" t="s">
        <v>32</v>
      </c>
      <c r="G306">
        <v>153</v>
      </c>
      <c r="H306" t="s">
        <v>33</v>
      </c>
      <c r="I306" t="s">
        <v>41</v>
      </c>
      <c r="J306" t="s">
        <v>17</v>
      </c>
    </row>
    <row r="307" spans="1:10" x14ac:dyDescent="0.35">
      <c r="A307">
        <v>306</v>
      </c>
      <c r="B307" t="s">
        <v>46</v>
      </c>
      <c r="C307" t="s">
        <v>11</v>
      </c>
      <c r="D307" t="s">
        <v>27</v>
      </c>
      <c r="E307" t="s">
        <v>48</v>
      </c>
      <c r="F307" t="s">
        <v>22</v>
      </c>
      <c r="G307">
        <v>204</v>
      </c>
      <c r="H307" t="s">
        <v>23</v>
      </c>
      <c r="I307" t="s">
        <v>16</v>
      </c>
      <c r="J307" t="s">
        <v>56</v>
      </c>
    </row>
    <row r="308" spans="1:10" x14ac:dyDescent="0.35">
      <c r="A308">
        <v>307</v>
      </c>
      <c r="B308" t="s">
        <v>46</v>
      </c>
      <c r="C308" t="s">
        <v>19</v>
      </c>
      <c r="D308" t="s">
        <v>36</v>
      </c>
      <c r="E308" t="s">
        <v>48</v>
      </c>
      <c r="F308" t="s">
        <v>32</v>
      </c>
      <c r="G308">
        <v>155</v>
      </c>
      <c r="H308" t="s">
        <v>38</v>
      </c>
      <c r="I308" t="s">
        <v>24</v>
      </c>
      <c r="J308" t="s">
        <v>56</v>
      </c>
    </row>
    <row r="309" spans="1:10" x14ac:dyDescent="0.35">
      <c r="A309">
        <v>308</v>
      </c>
      <c r="B309" t="s">
        <v>10</v>
      </c>
      <c r="C309" t="s">
        <v>47</v>
      </c>
      <c r="D309" t="s">
        <v>27</v>
      </c>
      <c r="E309" t="s">
        <v>13</v>
      </c>
      <c r="F309" t="s">
        <v>14</v>
      </c>
      <c r="G309">
        <v>130</v>
      </c>
      <c r="H309" t="s">
        <v>23</v>
      </c>
      <c r="I309" t="s">
        <v>41</v>
      </c>
      <c r="J309" t="s">
        <v>43</v>
      </c>
    </row>
    <row r="310" spans="1:10" x14ac:dyDescent="0.35">
      <c r="A310">
        <v>309</v>
      </c>
      <c r="B310" t="s">
        <v>46</v>
      </c>
      <c r="C310" t="s">
        <v>45</v>
      </c>
      <c r="D310" t="s">
        <v>12</v>
      </c>
      <c r="E310" t="s">
        <v>48</v>
      </c>
      <c r="F310" t="s">
        <v>14</v>
      </c>
      <c r="G310">
        <v>268</v>
      </c>
      <c r="H310" t="s">
        <v>23</v>
      </c>
      <c r="I310" t="s">
        <v>16</v>
      </c>
      <c r="J310" t="s">
        <v>54</v>
      </c>
    </row>
    <row r="311" spans="1:10" x14ac:dyDescent="0.35">
      <c r="A311">
        <v>310</v>
      </c>
      <c r="B311" t="s">
        <v>58</v>
      </c>
      <c r="C311" t="s">
        <v>45</v>
      </c>
      <c r="D311" t="s">
        <v>51</v>
      </c>
      <c r="E311" t="s">
        <v>48</v>
      </c>
      <c r="F311" t="s">
        <v>32</v>
      </c>
      <c r="G311">
        <v>191</v>
      </c>
      <c r="H311" t="s">
        <v>38</v>
      </c>
      <c r="I311" t="s">
        <v>24</v>
      </c>
      <c r="J311" t="s">
        <v>17</v>
      </c>
    </row>
    <row r="312" spans="1:10" x14ac:dyDescent="0.35">
      <c r="A312">
        <v>311</v>
      </c>
      <c r="B312" t="s">
        <v>58</v>
      </c>
      <c r="C312" t="s">
        <v>26</v>
      </c>
      <c r="D312" t="s">
        <v>27</v>
      </c>
      <c r="E312" t="s">
        <v>13</v>
      </c>
      <c r="F312" t="s">
        <v>14</v>
      </c>
      <c r="G312">
        <v>234</v>
      </c>
      <c r="H312" t="s">
        <v>53</v>
      </c>
      <c r="I312" t="s">
        <v>16</v>
      </c>
      <c r="J312" t="s">
        <v>43</v>
      </c>
    </row>
    <row r="313" spans="1:10" x14ac:dyDescent="0.35">
      <c r="A313">
        <v>312</v>
      </c>
      <c r="B313" t="s">
        <v>44</v>
      </c>
      <c r="C313" t="s">
        <v>19</v>
      </c>
      <c r="D313" t="s">
        <v>20</v>
      </c>
      <c r="E313" t="s">
        <v>31</v>
      </c>
      <c r="F313" t="s">
        <v>22</v>
      </c>
      <c r="G313">
        <v>36</v>
      </c>
      <c r="H313" t="s">
        <v>15</v>
      </c>
      <c r="I313" t="s">
        <v>16</v>
      </c>
      <c r="J313" t="s">
        <v>39</v>
      </c>
    </row>
    <row r="314" spans="1:10" x14ac:dyDescent="0.35">
      <c r="A314">
        <v>313</v>
      </c>
      <c r="B314" t="s">
        <v>44</v>
      </c>
      <c r="C314" t="s">
        <v>30</v>
      </c>
      <c r="D314" t="s">
        <v>27</v>
      </c>
      <c r="E314" t="s">
        <v>48</v>
      </c>
      <c r="F314" t="s">
        <v>32</v>
      </c>
      <c r="G314">
        <v>275</v>
      </c>
      <c r="H314" t="s">
        <v>23</v>
      </c>
      <c r="I314" t="s">
        <v>24</v>
      </c>
      <c r="J314" t="s">
        <v>56</v>
      </c>
    </row>
    <row r="315" spans="1:10" x14ac:dyDescent="0.35">
      <c r="A315">
        <v>314</v>
      </c>
      <c r="B315" t="s">
        <v>10</v>
      </c>
      <c r="C315" t="s">
        <v>26</v>
      </c>
      <c r="D315" t="s">
        <v>36</v>
      </c>
      <c r="E315" t="s">
        <v>40</v>
      </c>
      <c r="F315" t="s">
        <v>14</v>
      </c>
      <c r="G315">
        <v>53</v>
      </c>
      <c r="H315" t="s">
        <v>23</v>
      </c>
      <c r="I315" t="s">
        <v>41</v>
      </c>
      <c r="J315" t="s">
        <v>57</v>
      </c>
    </row>
    <row r="316" spans="1:10" x14ac:dyDescent="0.35">
      <c r="A316">
        <v>315</v>
      </c>
      <c r="B316" t="s">
        <v>58</v>
      </c>
      <c r="C316" t="s">
        <v>47</v>
      </c>
      <c r="D316" t="s">
        <v>51</v>
      </c>
      <c r="E316" t="s">
        <v>60</v>
      </c>
      <c r="F316" t="s">
        <v>32</v>
      </c>
      <c r="G316">
        <v>187</v>
      </c>
      <c r="H316" t="s">
        <v>38</v>
      </c>
      <c r="I316" t="s">
        <v>24</v>
      </c>
      <c r="J316" t="s">
        <v>34</v>
      </c>
    </row>
    <row r="317" spans="1:10" x14ac:dyDescent="0.35">
      <c r="A317">
        <v>316</v>
      </c>
      <c r="B317" t="s">
        <v>46</v>
      </c>
      <c r="C317" t="s">
        <v>45</v>
      </c>
      <c r="D317" t="s">
        <v>27</v>
      </c>
      <c r="E317" t="s">
        <v>37</v>
      </c>
      <c r="F317" t="s">
        <v>22</v>
      </c>
      <c r="G317">
        <v>201</v>
      </c>
      <c r="H317" t="s">
        <v>15</v>
      </c>
      <c r="I317" t="s">
        <v>24</v>
      </c>
      <c r="J317" t="s">
        <v>52</v>
      </c>
    </row>
    <row r="318" spans="1:10" x14ac:dyDescent="0.35">
      <c r="A318">
        <v>317</v>
      </c>
      <c r="B318" t="s">
        <v>35</v>
      </c>
      <c r="C318" t="s">
        <v>11</v>
      </c>
      <c r="D318" t="s">
        <v>12</v>
      </c>
      <c r="E318" t="s">
        <v>60</v>
      </c>
      <c r="F318" t="s">
        <v>14</v>
      </c>
      <c r="G318">
        <v>70</v>
      </c>
      <c r="H318" t="s">
        <v>33</v>
      </c>
      <c r="I318" t="s">
        <v>24</v>
      </c>
      <c r="J318" t="s">
        <v>52</v>
      </c>
    </row>
    <row r="319" spans="1:10" x14ac:dyDescent="0.35">
      <c r="A319">
        <v>318</v>
      </c>
      <c r="B319" t="s">
        <v>44</v>
      </c>
      <c r="C319" t="s">
        <v>45</v>
      </c>
      <c r="D319" t="s">
        <v>20</v>
      </c>
      <c r="E319" t="s">
        <v>48</v>
      </c>
      <c r="F319" t="s">
        <v>22</v>
      </c>
      <c r="G319">
        <v>195</v>
      </c>
      <c r="H319" t="s">
        <v>53</v>
      </c>
      <c r="I319" t="s">
        <v>24</v>
      </c>
      <c r="J319" t="s">
        <v>42</v>
      </c>
    </row>
    <row r="320" spans="1:10" x14ac:dyDescent="0.35">
      <c r="A320">
        <v>319</v>
      </c>
      <c r="B320" t="s">
        <v>35</v>
      </c>
      <c r="C320" t="s">
        <v>26</v>
      </c>
      <c r="D320" t="s">
        <v>12</v>
      </c>
      <c r="E320" t="s">
        <v>40</v>
      </c>
      <c r="F320" t="s">
        <v>22</v>
      </c>
      <c r="G320">
        <v>88</v>
      </c>
      <c r="H320" t="s">
        <v>38</v>
      </c>
      <c r="I320" t="s">
        <v>16</v>
      </c>
      <c r="J320" t="s">
        <v>39</v>
      </c>
    </row>
    <row r="321" spans="1:10" x14ac:dyDescent="0.35">
      <c r="A321">
        <v>320</v>
      </c>
      <c r="B321" t="s">
        <v>35</v>
      </c>
      <c r="C321" t="s">
        <v>26</v>
      </c>
      <c r="D321" t="s">
        <v>36</v>
      </c>
      <c r="E321" t="s">
        <v>13</v>
      </c>
      <c r="F321" t="s">
        <v>22</v>
      </c>
      <c r="G321">
        <v>111</v>
      </c>
      <c r="H321" t="s">
        <v>53</v>
      </c>
      <c r="I321" t="s">
        <v>16</v>
      </c>
      <c r="J321" t="s">
        <v>39</v>
      </c>
    </row>
    <row r="322" spans="1:10" x14ac:dyDescent="0.35">
      <c r="A322">
        <v>321</v>
      </c>
      <c r="B322" t="s">
        <v>35</v>
      </c>
      <c r="C322" t="s">
        <v>45</v>
      </c>
      <c r="D322" t="s">
        <v>51</v>
      </c>
      <c r="E322" t="s">
        <v>48</v>
      </c>
      <c r="F322" t="s">
        <v>22</v>
      </c>
      <c r="G322">
        <v>200</v>
      </c>
      <c r="H322" t="s">
        <v>15</v>
      </c>
      <c r="I322" t="s">
        <v>41</v>
      </c>
      <c r="J322" t="s">
        <v>57</v>
      </c>
    </row>
    <row r="323" spans="1:10" x14ac:dyDescent="0.35">
      <c r="A323">
        <v>322</v>
      </c>
      <c r="B323" t="s">
        <v>10</v>
      </c>
      <c r="C323" t="s">
        <v>47</v>
      </c>
      <c r="D323" t="s">
        <v>36</v>
      </c>
      <c r="E323" t="s">
        <v>48</v>
      </c>
      <c r="F323" t="s">
        <v>22</v>
      </c>
      <c r="G323">
        <v>32</v>
      </c>
      <c r="H323" t="s">
        <v>29</v>
      </c>
      <c r="I323" t="s">
        <v>24</v>
      </c>
      <c r="J323" t="s">
        <v>42</v>
      </c>
    </row>
    <row r="324" spans="1:10" x14ac:dyDescent="0.35">
      <c r="A324">
        <v>323</v>
      </c>
      <c r="B324" t="s">
        <v>44</v>
      </c>
      <c r="C324" t="s">
        <v>26</v>
      </c>
      <c r="D324" t="s">
        <v>20</v>
      </c>
      <c r="E324" t="s">
        <v>59</v>
      </c>
      <c r="F324" t="s">
        <v>32</v>
      </c>
      <c r="G324">
        <v>269</v>
      </c>
      <c r="H324" t="s">
        <v>33</v>
      </c>
      <c r="I324" t="s">
        <v>16</v>
      </c>
      <c r="J324" t="s">
        <v>25</v>
      </c>
    </row>
    <row r="325" spans="1:10" x14ac:dyDescent="0.35">
      <c r="A325">
        <v>324</v>
      </c>
      <c r="B325" t="s">
        <v>35</v>
      </c>
      <c r="C325" t="s">
        <v>30</v>
      </c>
      <c r="D325" t="s">
        <v>36</v>
      </c>
      <c r="E325" t="s">
        <v>40</v>
      </c>
      <c r="F325" t="s">
        <v>32</v>
      </c>
      <c r="G325">
        <v>258</v>
      </c>
      <c r="H325" t="s">
        <v>29</v>
      </c>
      <c r="I325" t="s">
        <v>24</v>
      </c>
      <c r="J325" t="s">
        <v>34</v>
      </c>
    </row>
    <row r="326" spans="1:10" x14ac:dyDescent="0.35">
      <c r="A326">
        <v>325</v>
      </c>
      <c r="B326" t="s">
        <v>35</v>
      </c>
      <c r="C326" t="s">
        <v>26</v>
      </c>
      <c r="D326" t="s">
        <v>20</v>
      </c>
      <c r="E326" t="s">
        <v>21</v>
      </c>
      <c r="F326" t="s">
        <v>32</v>
      </c>
      <c r="G326">
        <v>26</v>
      </c>
      <c r="H326" t="s">
        <v>23</v>
      </c>
      <c r="I326" t="s">
        <v>41</v>
      </c>
      <c r="J326" t="s">
        <v>34</v>
      </c>
    </row>
    <row r="327" spans="1:10" x14ac:dyDescent="0.35">
      <c r="A327">
        <v>326</v>
      </c>
      <c r="B327" t="s">
        <v>44</v>
      </c>
      <c r="C327" t="s">
        <v>47</v>
      </c>
      <c r="D327" t="s">
        <v>20</v>
      </c>
      <c r="E327" t="s">
        <v>31</v>
      </c>
      <c r="F327" t="s">
        <v>32</v>
      </c>
      <c r="G327">
        <v>180</v>
      </c>
      <c r="H327" t="s">
        <v>33</v>
      </c>
      <c r="I327" t="s">
        <v>24</v>
      </c>
      <c r="J327" t="s">
        <v>42</v>
      </c>
    </row>
    <row r="328" spans="1:10" x14ac:dyDescent="0.35">
      <c r="A328">
        <v>327</v>
      </c>
      <c r="B328" t="s">
        <v>10</v>
      </c>
      <c r="C328" t="s">
        <v>47</v>
      </c>
      <c r="D328" t="s">
        <v>36</v>
      </c>
      <c r="E328" t="s">
        <v>31</v>
      </c>
      <c r="F328" t="s">
        <v>22</v>
      </c>
      <c r="G328">
        <v>181</v>
      </c>
      <c r="H328" t="s">
        <v>23</v>
      </c>
      <c r="I328" t="s">
        <v>24</v>
      </c>
      <c r="J328" t="s">
        <v>50</v>
      </c>
    </row>
    <row r="329" spans="1:10" x14ac:dyDescent="0.35">
      <c r="A329">
        <v>328</v>
      </c>
      <c r="B329" t="s">
        <v>10</v>
      </c>
      <c r="C329" t="s">
        <v>30</v>
      </c>
      <c r="D329" t="s">
        <v>51</v>
      </c>
      <c r="E329" t="s">
        <v>60</v>
      </c>
      <c r="F329" t="s">
        <v>32</v>
      </c>
      <c r="G329">
        <v>291</v>
      </c>
      <c r="H329" t="s">
        <v>29</v>
      </c>
      <c r="I329" t="s">
        <v>16</v>
      </c>
      <c r="J329" t="s">
        <v>49</v>
      </c>
    </row>
    <row r="330" spans="1:10" x14ac:dyDescent="0.35">
      <c r="A330">
        <v>329</v>
      </c>
      <c r="B330" t="s">
        <v>18</v>
      </c>
      <c r="C330" t="s">
        <v>30</v>
      </c>
      <c r="D330" t="s">
        <v>27</v>
      </c>
      <c r="E330" t="s">
        <v>48</v>
      </c>
      <c r="F330" t="s">
        <v>22</v>
      </c>
      <c r="G330">
        <v>272</v>
      </c>
      <c r="H330" t="s">
        <v>53</v>
      </c>
      <c r="I330" t="s">
        <v>41</v>
      </c>
      <c r="J330" t="s">
        <v>34</v>
      </c>
    </row>
    <row r="331" spans="1:10" x14ac:dyDescent="0.35">
      <c r="A331">
        <v>330</v>
      </c>
      <c r="B331" t="s">
        <v>44</v>
      </c>
      <c r="C331" t="s">
        <v>11</v>
      </c>
      <c r="D331" t="s">
        <v>12</v>
      </c>
      <c r="E331" t="s">
        <v>60</v>
      </c>
      <c r="F331" t="s">
        <v>14</v>
      </c>
      <c r="G331">
        <v>147</v>
      </c>
      <c r="H331" t="s">
        <v>23</v>
      </c>
      <c r="I331" t="s">
        <v>16</v>
      </c>
      <c r="J331" t="s">
        <v>50</v>
      </c>
    </row>
    <row r="332" spans="1:10" x14ac:dyDescent="0.35">
      <c r="A332">
        <v>331</v>
      </c>
      <c r="B332" t="s">
        <v>35</v>
      </c>
      <c r="C332" t="s">
        <v>19</v>
      </c>
      <c r="D332" t="s">
        <v>20</v>
      </c>
      <c r="E332" t="s">
        <v>48</v>
      </c>
      <c r="F332" t="s">
        <v>14</v>
      </c>
      <c r="G332">
        <v>116</v>
      </c>
      <c r="H332" t="s">
        <v>29</v>
      </c>
      <c r="I332" t="s">
        <v>41</v>
      </c>
      <c r="J332" t="s">
        <v>43</v>
      </c>
    </row>
    <row r="333" spans="1:10" x14ac:dyDescent="0.35">
      <c r="A333">
        <v>332</v>
      </c>
      <c r="B333" t="s">
        <v>18</v>
      </c>
      <c r="C333" t="s">
        <v>19</v>
      </c>
      <c r="D333" t="s">
        <v>20</v>
      </c>
      <c r="E333" t="s">
        <v>40</v>
      </c>
      <c r="F333" t="s">
        <v>22</v>
      </c>
      <c r="G333">
        <v>277</v>
      </c>
      <c r="H333" t="s">
        <v>38</v>
      </c>
      <c r="I333" t="s">
        <v>16</v>
      </c>
      <c r="J333" t="s">
        <v>34</v>
      </c>
    </row>
    <row r="334" spans="1:10" x14ac:dyDescent="0.35">
      <c r="A334">
        <v>333</v>
      </c>
      <c r="B334" t="s">
        <v>44</v>
      </c>
      <c r="C334" t="s">
        <v>47</v>
      </c>
      <c r="D334" t="s">
        <v>20</v>
      </c>
      <c r="E334" t="s">
        <v>55</v>
      </c>
      <c r="F334" t="s">
        <v>14</v>
      </c>
      <c r="G334">
        <v>60</v>
      </c>
      <c r="H334" t="s">
        <v>15</v>
      </c>
      <c r="I334" t="s">
        <v>41</v>
      </c>
      <c r="J334" t="s">
        <v>17</v>
      </c>
    </row>
    <row r="335" spans="1:10" x14ac:dyDescent="0.35">
      <c r="A335">
        <v>334</v>
      </c>
      <c r="B335" t="s">
        <v>35</v>
      </c>
      <c r="C335" t="s">
        <v>47</v>
      </c>
      <c r="D335" t="s">
        <v>20</v>
      </c>
      <c r="E335" t="s">
        <v>40</v>
      </c>
      <c r="F335" t="s">
        <v>14</v>
      </c>
      <c r="G335">
        <v>236</v>
      </c>
      <c r="H335" t="s">
        <v>53</v>
      </c>
      <c r="I335" t="s">
        <v>24</v>
      </c>
      <c r="J335" t="s">
        <v>39</v>
      </c>
    </row>
    <row r="336" spans="1:10" x14ac:dyDescent="0.35">
      <c r="A336">
        <v>335</v>
      </c>
      <c r="B336" t="s">
        <v>44</v>
      </c>
      <c r="C336" t="s">
        <v>26</v>
      </c>
      <c r="D336" t="s">
        <v>51</v>
      </c>
      <c r="E336" t="s">
        <v>28</v>
      </c>
      <c r="F336" t="s">
        <v>22</v>
      </c>
      <c r="G336">
        <v>79</v>
      </c>
      <c r="H336" t="s">
        <v>23</v>
      </c>
      <c r="I336" t="s">
        <v>24</v>
      </c>
      <c r="J336" t="s">
        <v>50</v>
      </c>
    </row>
    <row r="337" spans="1:10" x14ac:dyDescent="0.35">
      <c r="A337">
        <v>336</v>
      </c>
      <c r="B337" t="s">
        <v>35</v>
      </c>
      <c r="C337" t="s">
        <v>26</v>
      </c>
      <c r="D337" t="s">
        <v>36</v>
      </c>
      <c r="E337" t="s">
        <v>37</v>
      </c>
      <c r="F337" t="s">
        <v>14</v>
      </c>
      <c r="G337">
        <v>138</v>
      </c>
      <c r="H337" t="s">
        <v>33</v>
      </c>
      <c r="I337" t="s">
        <v>24</v>
      </c>
      <c r="J337" t="s">
        <v>50</v>
      </c>
    </row>
    <row r="338" spans="1:10" x14ac:dyDescent="0.35">
      <c r="A338">
        <v>337</v>
      </c>
      <c r="B338" t="s">
        <v>18</v>
      </c>
      <c r="C338" t="s">
        <v>47</v>
      </c>
      <c r="D338" t="s">
        <v>20</v>
      </c>
      <c r="E338" t="s">
        <v>31</v>
      </c>
      <c r="F338" t="s">
        <v>14</v>
      </c>
      <c r="G338">
        <v>211</v>
      </c>
      <c r="H338" t="s">
        <v>23</v>
      </c>
      <c r="I338" t="s">
        <v>41</v>
      </c>
      <c r="J338" t="s">
        <v>34</v>
      </c>
    </row>
    <row r="339" spans="1:10" x14ac:dyDescent="0.35">
      <c r="A339">
        <v>338</v>
      </c>
      <c r="B339" t="s">
        <v>46</v>
      </c>
      <c r="C339" t="s">
        <v>30</v>
      </c>
      <c r="D339" t="s">
        <v>20</v>
      </c>
      <c r="E339" t="s">
        <v>37</v>
      </c>
      <c r="F339" t="s">
        <v>14</v>
      </c>
      <c r="G339">
        <v>291</v>
      </c>
      <c r="H339" t="s">
        <v>33</v>
      </c>
      <c r="I339" t="s">
        <v>41</v>
      </c>
      <c r="J339" t="s">
        <v>25</v>
      </c>
    </row>
    <row r="340" spans="1:10" x14ac:dyDescent="0.35">
      <c r="A340">
        <v>339</v>
      </c>
      <c r="B340" t="s">
        <v>18</v>
      </c>
      <c r="C340" t="s">
        <v>11</v>
      </c>
      <c r="D340" t="s">
        <v>51</v>
      </c>
      <c r="E340" t="s">
        <v>40</v>
      </c>
      <c r="F340" t="s">
        <v>32</v>
      </c>
      <c r="G340">
        <v>295</v>
      </c>
      <c r="H340" t="s">
        <v>33</v>
      </c>
      <c r="I340" t="s">
        <v>16</v>
      </c>
      <c r="J340" t="s">
        <v>52</v>
      </c>
    </row>
    <row r="341" spans="1:10" x14ac:dyDescent="0.35">
      <c r="A341">
        <v>340</v>
      </c>
      <c r="B341" t="s">
        <v>46</v>
      </c>
      <c r="C341" t="s">
        <v>47</v>
      </c>
      <c r="D341" t="s">
        <v>36</v>
      </c>
      <c r="E341" t="s">
        <v>59</v>
      </c>
      <c r="F341" t="s">
        <v>32</v>
      </c>
      <c r="G341">
        <v>263</v>
      </c>
      <c r="H341" t="s">
        <v>15</v>
      </c>
      <c r="I341" t="s">
        <v>16</v>
      </c>
      <c r="J341" t="s">
        <v>43</v>
      </c>
    </row>
    <row r="342" spans="1:10" x14ac:dyDescent="0.35">
      <c r="A342">
        <v>341</v>
      </c>
      <c r="B342" t="s">
        <v>10</v>
      </c>
      <c r="C342" t="s">
        <v>45</v>
      </c>
      <c r="D342" t="s">
        <v>12</v>
      </c>
      <c r="E342" t="s">
        <v>40</v>
      </c>
      <c r="F342" t="s">
        <v>14</v>
      </c>
      <c r="G342">
        <v>103</v>
      </c>
      <c r="H342" t="s">
        <v>29</v>
      </c>
      <c r="I342" t="s">
        <v>16</v>
      </c>
      <c r="J342" t="s">
        <v>56</v>
      </c>
    </row>
    <row r="343" spans="1:10" x14ac:dyDescent="0.35">
      <c r="A343">
        <v>342</v>
      </c>
      <c r="B343" t="s">
        <v>58</v>
      </c>
      <c r="C343" t="s">
        <v>45</v>
      </c>
      <c r="D343" t="s">
        <v>20</v>
      </c>
      <c r="E343" t="s">
        <v>31</v>
      </c>
      <c r="F343" t="s">
        <v>22</v>
      </c>
      <c r="G343">
        <v>173</v>
      </c>
      <c r="H343" t="s">
        <v>29</v>
      </c>
      <c r="I343" t="s">
        <v>16</v>
      </c>
      <c r="J343" t="s">
        <v>52</v>
      </c>
    </row>
    <row r="344" spans="1:10" x14ac:dyDescent="0.35">
      <c r="A344">
        <v>343</v>
      </c>
      <c r="B344" t="s">
        <v>35</v>
      </c>
      <c r="C344" t="s">
        <v>19</v>
      </c>
      <c r="D344" t="s">
        <v>12</v>
      </c>
      <c r="E344" t="s">
        <v>55</v>
      </c>
      <c r="F344" t="s">
        <v>22</v>
      </c>
      <c r="G344">
        <v>29</v>
      </c>
      <c r="H344" t="s">
        <v>23</v>
      </c>
      <c r="I344" t="s">
        <v>24</v>
      </c>
      <c r="J344" t="s">
        <v>54</v>
      </c>
    </row>
    <row r="345" spans="1:10" x14ac:dyDescent="0.35">
      <c r="A345">
        <v>344</v>
      </c>
      <c r="B345" t="s">
        <v>10</v>
      </c>
      <c r="C345" t="s">
        <v>30</v>
      </c>
      <c r="D345" t="s">
        <v>27</v>
      </c>
      <c r="E345" t="s">
        <v>60</v>
      </c>
      <c r="F345" t="s">
        <v>32</v>
      </c>
      <c r="G345">
        <v>177</v>
      </c>
      <c r="H345" t="s">
        <v>53</v>
      </c>
      <c r="I345" t="s">
        <v>16</v>
      </c>
      <c r="J345" t="s">
        <v>56</v>
      </c>
    </row>
    <row r="346" spans="1:10" x14ac:dyDescent="0.35">
      <c r="A346">
        <v>345</v>
      </c>
      <c r="B346" t="s">
        <v>35</v>
      </c>
      <c r="C346" t="s">
        <v>30</v>
      </c>
      <c r="D346" t="s">
        <v>20</v>
      </c>
      <c r="E346" t="s">
        <v>55</v>
      </c>
      <c r="F346" t="s">
        <v>14</v>
      </c>
      <c r="G346">
        <v>231</v>
      </c>
      <c r="H346" t="s">
        <v>23</v>
      </c>
      <c r="I346" t="s">
        <v>24</v>
      </c>
      <c r="J346" t="s">
        <v>42</v>
      </c>
    </row>
    <row r="347" spans="1:10" x14ac:dyDescent="0.35">
      <c r="A347">
        <v>346</v>
      </c>
      <c r="B347" t="s">
        <v>44</v>
      </c>
      <c r="C347" t="s">
        <v>47</v>
      </c>
      <c r="D347" t="s">
        <v>36</v>
      </c>
      <c r="E347" t="s">
        <v>40</v>
      </c>
      <c r="F347" t="s">
        <v>32</v>
      </c>
      <c r="G347">
        <v>176</v>
      </c>
      <c r="H347" t="s">
        <v>23</v>
      </c>
      <c r="I347" t="s">
        <v>24</v>
      </c>
      <c r="J347" t="s">
        <v>25</v>
      </c>
    </row>
    <row r="348" spans="1:10" x14ac:dyDescent="0.35">
      <c r="A348">
        <v>347</v>
      </c>
      <c r="B348" t="s">
        <v>46</v>
      </c>
      <c r="C348" t="s">
        <v>11</v>
      </c>
      <c r="D348" t="s">
        <v>36</v>
      </c>
      <c r="E348" t="s">
        <v>48</v>
      </c>
      <c r="F348" t="s">
        <v>14</v>
      </c>
      <c r="G348">
        <v>172</v>
      </c>
      <c r="H348" t="s">
        <v>38</v>
      </c>
      <c r="I348" t="s">
        <v>24</v>
      </c>
      <c r="J348" t="s">
        <v>56</v>
      </c>
    </row>
    <row r="349" spans="1:10" x14ac:dyDescent="0.35">
      <c r="A349">
        <v>348</v>
      </c>
      <c r="B349" t="s">
        <v>44</v>
      </c>
      <c r="C349" t="s">
        <v>45</v>
      </c>
      <c r="D349" t="s">
        <v>12</v>
      </c>
      <c r="E349" t="s">
        <v>31</v>
      </c>
      <c r="F349" t="s">
        <v>32</v>
      </c>
      <c r="G349">
        <v>130</v>
      </c>
      <c r="H349" t="s">
        <v>15</v>
      </c>
      <c r="I349" t="s">
        <v>16</v>
      </c>
      <c r="J349" t="s">
        <v>50</v>
      </c>
    </row>
    <row r="350" spans="1:10" x14ac:dyDescent="0.35">
      <c r="A350">
        <v>349</v>
      </c>
      <c r="B350" t="s">
        <v>18</v>
      </c>
      <c r="C350" t="s">
        <v>19</v>
      </c>
      <c r="D350" t="s">
        <v>27</v>
      </c>
      <c r="E350" t="s">
        <v>60</v>
      </c>
      <c r="F350" t="s">
        <v>32</v>
      </c>
      <c r="G350">
        <v>285</v>
      </c>
      <c r="H350" t="s">
        <v>15</v>
      </c>
      <c r="I350" t="s">
        <v>24</v>
      </c>
      <c r="J350" t="s">
        <v>25</v>
      </c>
    </row>
    <row r="351" spans="1:10" x14ac:dyDescent="0.35">
      <c r="A351">
        <v>350</v>
      </c>
      <c r="B351" t="s">
        <v>18</v>
      </c>
      <c r="C351" t="s">
        <v>11</v>
      </c>
      <c r="D351" t="s">
        <v>12</v>
      </c>
      <c r="E351" t="s">
        <v>59</v>
      </c>
      <c r="F351" t="s">
        <v>22</v>
      </c>
      <c r="G351">
        <v>37</v>
      </c>
      <c r="H351" t="s">
        <v>53</v>
      </c>
      <c r="I351" t="s">
        <v>41</v>
      </c>
      <c r="J351" t="s">
        <v>39</v>
      </c>
    </row>
    <row r="352" spans="1:10" x14ac:dyDescent="0.35">
      <c r="A352">
        <v>351</v>
      </c>
      <c r="B352" t="s">
        <v>35</v>
      </c>
      <c r="C352" t="s">
        <v>45</v>
      </c>
      <c r="D352" t="s">
        <v>51</v>
      </c>
      <c r="E352" t="s">
        <v>59</v>
      </c>
      <c r="F352" t="s">
        <v>22</v>
      </c>
      <c r="G352">
        <v>34</v>
      </c>
      <c r="H352" t="s">
        <v>38</v>
      </c>
      <c r="I352" t="s">
        <v>24</v>
      </c>
      <c r="J352" t="s">
        <v>43</v>
      </c>
    </row>
    <row r="353" spans="1:10" x14ac:dyDescent="0.35">
      <c r="A353">
        <v>352</v>
      </c>
      <c r="B353" t="s">
        <v>18</v>
      </c>
      <c r="C353" t="s">
        <v>45</v>
      </c>
      <c r="D353" t="s">
        <v>36</v>
      </c>
      <c r="E353" t="s">
        <v>31</v>
      </c>
      <c r="F353" t="s">
        <v>22</v>
      </c>
      <c r="G353">
        <v>32</v>
      </c>
      <c r="H353" t="s">
        <v>53</v>
      </c>
      <c r="I353" t="s">
        <v>41</v>
      </c>
      <c r="J353" t="s">
        <v>56</v>
      </c>
    </row>
    <row r="354" spans="1:10" x14ac:dyDescent="0.35">
      <c r="A354">
        <v>353</v>
      </c>
      <c r="B354" t="s">
        <v>10</v>
      </c>
      <c r="C354" t="s">
        <v>47</v>
      </c>
      <c r="D354" t="s">
        <v>36</v>
      </c>
      <c r="E354" t="s">
        <v>59</v>
      </c>
      <c r="F354" t="s">
        <v>14</v>
      </c>
      <c r="G354">
        <v>154</v>
      </c>
      <c r="H354" t="s">
        <v>33</v>
      </c>
      <c r="I354" t="s">
        <v>24</v>
      </c>
      <c r="J354" t="s">
        <v>50</v>
      </c>
    </row>
    <row r="355" spans="1:10" x14ac:dyDescent="0.35">
      <c r="A355">
        <v>354</v>
      </c>
      <c r="B355" t="s">
        <v>46</v>
      </c>
      <c r="C355" t="s">
        <v>30</v>
      </c>
      <c r="D355" t="s">
        <v>20</v>
      </c>
      <c r="E355" t="s">
        <v>21</v>
      </c>
      <c r="F355" t="s">
        <v>14</v>
      </c>
      <c r="G355">
        <v>95</v>
      </c>
      <c r="H355" t="s">
        <v>29</v>
      </c>
      <c r="I355" t="s">
        <v>41</v>
      </c>
      <c r="J355" t="s">
        <v>57</v>
      </c>
    </row>
    <row r="356" spans="1:10" x14ac:dyDescent="0.35">
      <c r="A356">
        <v>355</v>
      </c>
      <c r="B356" t="s">
        <v>46</v>
      </c>
      <c r="C356" t="s">
        <v>19</v>
      </c>
      <c r="D356" t="s">
        <v>27</v>
      </c>
      <c r="E356" t="s">
        <v>13</v>
      </c>
      <c r="F356" t="s">
        <v>14</v>
      </c>
      <c r="G356">
        <v>50</v>
      </c>
      <c r="H356" t="s">
        <v>23</v>
      </c>
      <c r="I356" t="s">
        <v>16</v>
      </c>
      <c r="J356" t="s">
        <v>49</v>
      </c>
    </row>
    <row r="357" spans="1:10" x14ac:dyDescent="0.35">
      <c r="A357">
        <v>356</v>
      </c>
      <c r="B357" t="s">
        <v>44</v>
      </c>
      <c r="C357" t="s">
        <v>47</v>
      </c>
      <c r="D357" t="s">
        <v>36</v>
      </c>
      <c r="E357" t="s">
        <v>31</v>
      </c>
      <c r="F357" t="s">
        <v>32</v>
      </c>
      <c r="G357">
        <v>105</v>
      </c>
      <c r="H357" t="s">
        <v>15</v>
      </c>
      <c r="I357" t="s">
        <v>24</v>
      </c>
      <c r="J357" t="s">
        <v>50</v>
      </c>
    </row>
    <row r="358" spans="1:10" x14ac:dyDescent="0.35">
      <c r="A358">
        <v>357</v>
      </c>
      <c r="B358" t="s">
        <v>44</v>
      </c>
      <c r="C358" t="s">
        <v>47</v>
      </c>
      <c r="D358" t="s">
        <v>51</v>
      </c>
      <c r="E358" t="s">
        <v>37</v>
      </c>
      <c r="F358" t="s">
        <v>14</v>
      </c>
      <c r="G358">
        <v>116</v>
      </c>
      <c r="H358" t="s">
        <v>23</v>
      </c>
      <c r="I358" t="s">
        <v>41</v>
      </c>
      <c r="J358" t="s">
        <v>57</v>
      </c>
    </row>
    <row r="359" spans="1:10" x14ac:dyDescent="0.35">
      <c r="A359">
        <v>358</v>
      </c>
      <c r="B359" t="s">
        <v>46</v>
      </c>
      <c r="C359" t="s">
        <v>11</v>
      </c>
      <c r="D359" t="s">
        <v>36</v>
      </c>
      <c r="E359" t="s">
        <v>31</v>
      </c>
      <c r="F359" t="s">
        <v>32</v>
      </c>
      <c r="G359">
        <v>211</v>
      </c>
      <c r="H359" t="s">
        <v>33</v>
      </c>
      <c r="I359" t="s">
        <v>24</v>
      </c>
      <c r="J359" t="s">
        <v>52</v>
      </c>
    </row>
    <row r="360" spans="1:10" x14ac:dyDescent="0.35">
      <c r="A360">
        <v>359</v>
      </c>
      <c r="B360" t="s">
        <v>35</v>
      </c>
      <c r="C360" t="s">
        <v>30</v>
      </c>
      <c r="D360" t="s">
        <v>12</v>
      </c>
      <c r="E360" t="s">
        <v>48</v>
      </c>
      <c r="F360" t="s">
        <v>22</v>
      </c>
      <c r="G360">
        <v>173</v>
      </c>
      <c r="H360" t="s">
        <v>29</v>
      </c>
      <c r="I360" t="s">
        <v>16</v>
      </c>
      <c r="J360" t="s">
        <v>57</v>
      </c>
    </row>
    <row r="361" spans="1:10" x14ac:dyDescent="0.35">
      <c r="A361">
        <v>360</v>
      </c>
      <c r="B361" t="s">
        <v>58</v>
      </c>
      <c r="C361" t="s">
        <v>45</v>
      </c>
      <c r="D361" t="s">
        <v>27</v>
      </c>
      <c r="E361" t="s">
        <v>48</v>
      </c>
      <c r="F361" t="s">
        <v>22</v>
      </c>
      <c r="G361">
        <v>135</v>
      </c>
      <c r="H361" t="s">
        <v>33</v>
      </c>
      <c r="I361" t="s">
        <v>41</v>
      </c>
      <c r="J361" t="s">
        <v>56</v>
      </c>
    </row>
    <row r="362" spans="1:10" x14ac:dyDescent="0.35">
      <c r="A362">
        <v>361</v>
      </c>
      <c r="B362" t="s">
        <v>35</v>
      </c>
      <c r="C362" t="s">
        <v>45</v>
      </c>
      <c r="D362" t="s">
        <v>36</v>
      </c>
      <c r="E362" t="s">
        <v>28</v>
      </c>
      <c r="F362" t="s">
        <v>22</v>
      </c>
      <c r="G362">
        <v>35</v>
      </c>
      <c r="H362" t="s">
        <v>29</v>
      </c>
      <c r="I362" t="s">
        <v>16</v>
      </c>
      <c r="J362" t="s">
        <v>49</v>
      </c>
    </row>
    <row r="363" spans="1:10" x14ac:dyDescent="0.35">
      <c r="A363">
        <v>362</v>
      </c>
      <c r="B363" t="s">
        <v>18</v>
      </c>
      <c r="C363" t="s">
        <v>26</v>
      </c>
      <c r="D363" t="s">
        <v>36</v>
      </c>
      <c r="E363" t="s">
        <v>31</v>
      </c>
      <c r="F363" t="s">
        <v>22</v>
      </c>
      <c r="G363">
        <v>261</v>
      </c>
      <c r="H363" t="s">
        <v>38</v>
      </c>
      <c r="I363" t="s">
        <v>24</v>
      </c>
      <c r="J363" t="s">
        <v>34</v>
      </c>
    </row>
    <row r="364" spans="1:10" x14ac:dyDescent="0.35">
      <c r="A364">
        <v>363</v>
      </c>
      <c r="B364" t="s">
        <v>58</v>
      </c>
      <c r="C364" t="s">
        <v>26</v>
      </c>
      <c r="D364" t="s">
        <v>36</v>
      </c>
      <c r="E364" t="s">
        <v>48</v>
      </c>
      <c r="F364" t="s">
        <v>14</v>
      </c>
      <c r="G364">
        <v>103</v>
      </c>
      <c r="H364" t="s">
        <v>33</v>
      </c>
      <c r="I364" t="s">
        <v>24</v>
      </c>
      <c r="J364" t="s">
        <v>57</v>
      </c>
    </row>
    <row r="365" spans="1:10" x14ac:dyDescent="0.35">
      <c r="A365">
        <v>364</v>
      </c>
      <c r="B365" t="s">
        <v>58</v>
      </c>
      <c r="C365" t="s">
        <v>30</v>
      </c>
      <c r="D365" t="s">
        <v>36</v>
      </c>
      <c r="E365" t="s">
        <v>21</v>
      </c>
      <c r="F365" t="s">
        <v>14</v>
      </c>
      <c r="G365">
        <v>275</v>
      </c>
      <c r="H365" t="s">
        <v>33</v>
      </c>
      <c r="I365" t="s">
        <v>16</v>
      </c>
      <c r="J365" t="s">
        <v>25</v>
      </c>
    </row>
    <row r="366" spans="1:10" x14ac:dyDescent="0.35">
      <c r="A366">
        <v>365</v>
      </c>
      <c r="B366" t="s">
        <v>44</v>
      </c>
      <c r="C366" t="s">
        <v>11</v>
      </c>
      <c r="D366" t="s">
        <v>27</v>
      </c>
      <c r="E366" t="s">
        <v>55</v>
      </c>
      <c r="F366" t="s">
        <v>14</v>
      </c>
      <c r="G366">
        <v>276</v>
      </c>
      <c r="H366" t="s">
        <v>29</v>
      </c>
      <c r="I366" t="s">
        <v>41</v>
      </c>
      <c r="J366" t="s">
        <v>56</v>
      </c>
    </row>
    <row r="367" spans="1:10" x14ac:dyDescent="0.35">
      <c r="A367">
        <v>366</v>
      </c>
      <c r="B367" t="s">
        <v>18</v>
      </c>
      <c r="C367" t="s">
        <v>11</v>
      </c>
      <c r="D367" t="s">
        <v>36</v>
      </c>
      <c r="E367" t="s">
        <v>31</v>
      </c>
      <c r="F367" t="s">
        <v>14</v>
      </c>
      <c r="G367">
        <v>245</v>
      </c>
      <c r="H367" t="s">
        <v>15</v>
      </c>
      <c r="I367" t="s">
        <v>24</v>
      </c>
      <c r="J367" t="s">
        <v>25</v>
      </c>
    </row>
    <row r="368" spans="1:10" x14ac:dyDescent="0.35">
      <c r="A368">
        <v>367</v>
      </c>
      <c r="B368" t="s">
        <v>58</v>
      </c>
      <c r="C368" t="s">
        <v>30</v>
      </c>
      <c r="D368" t="s">
        <v>36</v>
      </c>
      <c r="E368" t="s">
        <v>21</v>
      </c>
      <c r="F368" t="s">
        <v>22</v>
      </c>
      <c r="G368">
        <v>198</v>
      </c>
      <c r="H368" t="s">
        <v>23</v>
      </c>
      <c r="I368" t="s">
        <v>16</v>
      </c>
      <c r="J368" t="s">
        <v>17</v>
      </c>
    </row>
    <row r="369" spans="1:10" x14ac:dyDescent="0.35">
      <c r="A369">
        <v>368</v>
      </c>
      <c r="B369" t="s">
        <v>44</v>
      </c>
      <c r="C369" t="s">
        <v>47</v>
      </c>
      <c r="D369" t="s">
        <v>20</v>
      </c>
      <c r="E369" t="s">
        <v>31</v>
      </c>
      <c r="F369" t="s">
        <v>14</v>
      </c>
      <c r="G369">
        <v>85</v>
      </c>
      <c r="H369" t="s">
        <v>15</v>
      </c>
      <c r="I369" t="s">
        <v>16</v>
      </c>
      <c r="J369" t="s">
        <v>17</v>
      </c>
    </row>
    <row r="370" spans="1:10" x14ac:dyDescent="0.35">
      <c r="A370">
        <v>369</v>
      </c>
      <c r="B370" t="s">
        <v>58</v>
      </c>
      <c r="C370" t="s">
        <v>47</v>
      </c>
      <c r="D370" t="s">
        <v>27</v>
      </c>
      <c r="E370" t="s">
        <v>59</v>
      </c>
      <c r="F370" t="s">
        <v>14</v>
      </c>
      <c r="G370">
        <v>104</v>
      </c>
      <c r="H370" t="s">
        <v>29</v>
      </c>
      <c r="I370" t="s">
        <v>16</v>
      </c>
      <c r="J370" t="s">
        <v>52</v>
      </c>
    </row>
    <row r="371" spans="1:10" x14ac:dyDescent="0.35">
      <c r="A371">
        <v>370</v>
      </c>
      <c r="B371" t="s">
        <v>35</v>
      </c>
      <c r="C371" t="s">
        <v>45</v>
      </c>
      <c r="D371" t="s">
        <v>51</v>
      </c>
      <c r="E371" t="s">
        <v>13</v>
      </c>
      <c r="F371" t="s">
        <v>14</v>
      </c>
      <c r="G371">
        <v>266</v>
      </c>
      <c r="H371" t="s">
        <v>15</v>
      </c>
      <c r="I371" t="s">
        <v>16</v>
      </c>
      <c r="J371" t="s">
        <v>42</v>
      </c>
    </row>
    <row r="372" spans="1:10" x14ac:dyDescent="0.35">
      <c r="A372">
        <v>371</v>
      </c>
      <c r="B372" t="s">
        <v>10</v>
      </c>
      <c r="C372" t="s">
        <v>45</v>
      </c>
      <c r="D372" t="s">
        <v>12</v>
      </c>
      <c r="E372" t="s">
        <v>55</v>
      </c>
      <c r="F372" t="s">
        <v>14</v>
      </c>
      <c r="G372">
        <v>212</v>
      </c>
      <c r="H372" t="s">
        <v>33</v>
      </c>
      <c r="I372" t="s">
        <v>16</v>
      </c>
      <c r="J372" t="s">
        <v>34</v>
      </c>
    </row>
    <row r="373" spans="1:10" x14ac:dyDescent="0.35">
      <c r="A373">
        <v>372</v>
      </c>
      <c r="B373" t="s">
        <v>10</v>
      </c>
      <c r="C373" t="s">
        <v>45</v>
      </c>
      <c r="D373" t="s">
        <v>51</v>
      </c>
      <c r="E373" t="s">
        <v>13</v>
      </c>
      <c r="F373" t="s">
        <v>32</v>
      </c>
      <c r="G373">
        <v>295</v>
      </c>
      <c r="H373" t="s">
        <v>15</v>
      </c>
      <c r="I373" t="s">
        <v>24</v>
      </c>
      <c r="J373" t="s">
        <v>54</v>
      </c>
    </row>
    <row r="374" spans="1:10" x14ac:dyDescent="0.35">
      <c r="A374">
        <v>373</v>
      </c>
      <c r="B374" t="s">
        <v>35</v>
      </c>
      <c r="C374" t="s">
        <v>11</v>
      </c>
      <c r="D374" t="s">
        <v>27</v>
      </c>
      <c r="E374" t="s">
        <v>40</v>
      </c>
      <c r="F374" t="s">
        <v>22</v>
      </c>
      <c r="G374">
        <v>207</v>
      </c>
      <c r="H374" t="s">
        <v>33</v>
      </c>
      <c r="I374" t="s">
        <v>24</v>
      </c>
      <c r="J374" t="s">
        <v>56</v>
      </c>
    </row>
    <row r="375" spans="1:10" x14ac:dyDescent="0.35">
      <c r="A375">
        <v>374</v>
      </c>
      <c r="B375" t="s">
        <v>46</v>
      </c>
      <c r="C375" t="s">
        <v>45</v>
      </c>
      <c r="D375" t="s">
        <v>36</v>
      </c>
      <c r="E375" t="s">
        <v>40</v>
      </c>
      <c r="F375" t="s">
        <v>14</v>
      </c>
      <c r="G375">
        <v>143</v>
      </c>
      <c r="H375" t="s">
        <v>15</v>
      </c>
      <c r="I375" t="s">
        <v>24</v>
      </c>
      <c r="J375" t="s">
        <v>39</v>
      </c>
    </row>
    <row r="376" spans="1:10" x14ac:dyDescent="0.35">
      <c r="A376">
        <v>375</v>
      </c>
      <c r="B376" t="s">
        <v>18</v>
      </c>
      <c r="C376" t="s">
        <v>26</v>
      </c>
      <c r="D376" t="s">
        <v>27</v>
      </c>
      <c r="E376" t="s">
        <v>31</v>
      </c>
      <c r="F376" t="s">
        <v>14</v>
      </c>
      <c r="G376">
        <v>37</v>
      </c>
      <c r="H376" t="s">
        <v>29</v>
      </c>
      <c r="I376" t="s">
        <v>16</v>
      </c>
      <c r="J376" t="s">
        <v>50</v>
      </c>
    </row>
    <row r="377" spans="1:10" x14ac:dyDescent="0.35">
      <c r="A377">
        <v>376</v>
      </c>
      <c r="B377" t="s">
        <v>58</v>
      </c>
      <c r="C377" t="s">
        <v>30</v>
      </c>
      <c r="D377" t="s">
        <v>20</v>
      </c>
      <c r="E377" t="s">
        <v>59</v>
      </c>
      <c r="F377" t="s">
        <v>32</v>
      </c>
      <c r="G377">
        <v>212</v>
      </c>
      <c r="H377" t="s">
        <v>15</v>
      </c>
      <c r="I377" t="s">
        <v>41</v>
      </c>
      <c r="J377" t="s">
        <v>54</v>
      </c>
    </row>
    <row r="378" spans="1:10" x14ac:dyDescent="0.35">
      <c r="A378">
        <v>377</v>
      </c>
      <c r="B378" t="s">
        <v>18</v>
      </c>
      <c r="C378" t="s">
        <v>30</v>
      </c>
      <c r="D378" t="s">
        <v>27</v>
      </c>
      <c r="E378" t="s">
        <v>37</v>
      </c>
      <c r="F378" t="s">
        <v>32</v>
      </c>
      <c r="G378">
        <v>23</v>
      </c>
      <c r="H378" t="s">
        <v>29</v>
      </c>
      <c r="I378" t="s">
        <v>16</v>
      </c>
      <c r="J378" t="s">
        <v>56</v>
      </c>
    </row>
    <row r="379" spans="1:10" x14ac:dyDescent="0.35">
      <c r="A379">
        <v>378</v>
      </c>
      <c r="B379" t="s">
        <v>44</v>
      </c>
      <c r="C379" t="s">
        <v>19</v>
      </c>
      <c r="D379" t="s">
        <v>36</v>
      </c>
      <c r="E379" t="s">
        <v>13</v>
      </c>
      <c r="F379" t="s">
        <v>32</v>
      </c>
      <c r="G379">
        <v>267</v>
      </c>
      <c r="H379" t="s">
        <v>38</v>
      </c>
      <c r="I379" t="s">
        <v>16</v>
      </c>
      <c r="J379" t="s">
        <v>25</v>
      </c>
    </row>
    <row r="380" spans="1:10" x14ac:dyDescent="0.35">
      <c r="A380">
        <v>379</v>
      </c>
      <c r="B380" t="s">
        <v>44</v>
      </c>
      <c r="C380" t="s">
        <v>47</v>
      </c>
      <c r="D380" t="s">
        <v>36</v>
      </c>
      <c r="E380" t="s">
        <v>59</v>
      </c>
      <c r="F380" t="s">
        <v>14</v>
      </c>
      <c r="G380">
        <v>263</v>
      </c>
      <c r="H380" t="s">
        <v>29</v>
      </c>
      <c r="I380" t="s">
        <v>41</v>
      </c>
      <c r="J380" t="s">
        <v>57</v>
      </c>
    </row>
    <row r="381" spans="1:10" x14ac:dyDescent="0.35">
      <c r="A381">
        <v>380</v>
      </c>
      <c r="B381" t="s">
        <v>58</v>
      </c>
      <c r="C381" t="s">
        <v>45</v>
      </c>
      <c r="D381" t="s">
        <v>51</v>
      </c>
      <c r="E381" t="s">
        <v>13</v>
      </c>
      <c r="F381" t="s">
        <v>32</v>
      </c>
      <c r="G381">
        <v>143</v>
      </c>
      <c r="H381" t="s">
        <v>38</v>
      </c>
      <c r="I381" t="s">
        <v>24</v>
      </c>
      <c r="J381" t="s">
        <v>52</v>
      </c>
    </row>
    <row r="382" spans="1:10" x14ac:dyDescent="0.35">
      <c r="A382">
        <v>381</v>
      </c>
      <c r="B382" t="s">
        <v>35</v>
      </c>
      <c r="C382" t="s">
        <v>26</v>
      </c>
      <c r="D382" t="s">
        <v>20</v>
      </c>
      <c r="E382" t="s">
        <v>31</v>
      </c>
      <c r="F382" t="s">
        <v>22</v>
      </c>
      <c r="G382">
        <v>91</v>
      </c>
      <c r="H382" t="s">
        <v>15</v>
      </c>
      <c r="I382" t="s">
        <v>41</v>
      </c>
      <c r="J382" t="s">
        <v>56</v>
      </c>
    </row>
    <row r="383" spans="1:10" x14ac:dyDescent="0.35">
      <c r="A383">
        <v>382</v>
      </c>
      <c r="B383" t="s">
        <v>18</v>
      </c>
      <c r="C383" t="s">
        <v>30</v>
      </c>
      <c r="D383" t="s">
        <v>36</v>
      </c>
      <c r="E383" t="s">
        <v>13</v>
      </c>
      <c r="F383" t="s">
        <v>14</v>
      </c>
      <c r="G383">
        <v>51</v>
      </c>
      <c r="H383" t="s">
        <v>53</v>
      </c>
      <c r="I383" t="s">
        <v>24</v>
      </c>
      <c r="J383" t="s">
        <v>57</v>
      </c>
    </row>
    <row r="384" spans="1:10" x14ac:dyDescent="0.35">
      <c r="A384">
        <v>383</v>
      </c>
      <c r="B384" t="s">
        <v>44</v>
      </c>
      <c r="C384" t="s">
        <v>19</v>
      </c>
      <c r="D384" t="s">
        <v>36</v>
      </c>
      <c r="E384" t="s">
        <v>40</v>
      </c>
      <c r="F384" t="s">
        <v>14</v>
      </c>
      <c r="G384">
        <v>185</v>
      </c>
      <c r="H384" t="s">
        <v>29</v>
      </c>
      <c r="I384" t="s">
        <v>16</v>
      </c>
      <c r="J384" t="s">
        <v>52</v>
      </c>
    </row>
    <row r="385" spans="1:10" x14ac:dyDescent="0.35">
      <c r="A385">
        <v>384</v>
      </c>
      <c r="B385" t="s">
        <v>44</v>
      </c>
      <c r="C385" t="s">
        <v>19</v>
      </c>
      <c r="D385" t="s">
        <v>27</v>
      </c>
      <c r="E385" t="s">
        <v>55</v>
      </c>
      <c r="F385" t="s">
        <v>32</v>
      </c>
      <c r="G385">
        <v>75</v>
      </c>
      <c r="H385" t="s">
        <v>33</v>
      </c>
      <c r="I385" t="s">
        <v>24</v>
      </c>
      <c r="J385" t="s">
        <v>43</v>
      </c>
    </row>
    <row r="386" spans="1:10" x14ac:dyDescent="0.35">
      <c r="A386">
        <v>385</v>
      </c>
      <c r="B386" t="s">
        <v>46</v>
      </c>
      <c r="C386" t="s">
        <v>45</v>
      </c>
      <c r="D386" t="s">
        <v>20</v>
      </c>
      <c r="E386" t="s">
        <v>13</v>
      </c>
      <c r="F386" t="s">
        <v>14</v>
      </c>
      <c r="G386">
        <v>257</v>
      </c>
      <c r="H386" t="s">
        <v>15</v>
      </c>
      <c r="I386" t="s">
        <v>41</v>
      </c>
      <c r="J386" t="s">
        <v>50</v>
      </c>
    </row>
    <row r="387" spans="1:10" x14ac:dyDescent="0.35">
      <c r="A387">
        <v>386</v>
      </c>
      <c r="B387" t="s">
        <v>44</v>
      </c>
      <c r="C387" t="s">
        <v>30</v>
      </c>
      <c r="D387" t="s">
        <v>20</v>
      </c>
      <c r="E387" t="s">
        <v>59</v>
      </c>
      <c r="F387" t="s">
        <v>32</v>
      </c>
      <c r="G387">
        <v>201</v>
      </c>
      <c r="H387" t="s">
        <v>33</v>
      </c>
      <c r="I387" t="s">
        <v>24</v>
      </c>
      <c r="J387" t="s">
        <v>57</v>
      </c>
    </row>
    <row r="388" spans="1:10" x14ac:dyDescent="0.35">
      <c r="A388">
        <v>387</v>
      </c>
      <c r="B388" t="s">
        <v>18</v>
      </c>
      <c r="C388" t="s">
        <v>47</v>
      </c>
      <c r="D388" t="s">
        <v>51</v>
      </c>
      <c r="E388" t="s">
        <v>37</v>
      </c>
      <c r="F388" t="s">
        <v>32</v>
      </c>
      <c r="G388">
        <v>231</v>
      </c>
      <c r="H388" t="s">
        <v>38</v>
      </c>
      <c r="I388" t="s">
        <v>41</v>
      </c>
      <c r="J388" t="s">
        <v>52</v>
      </c>
    </row>
    <row r="389" spans="1:10" x14ac:dyDescent="0.35">
      <c r="A389">
        <v>388</v>
      </c>
      <c r="B389" t="s">
        <v>35</v>
      </c>
      <c r="C389" t="s">
        <v>45</v>
      </c>
      <c r="D389" t="s">
        <v>12</v>
      </c>
      <c r="E389" t="s">
        <v>55</v>
      </c>
      <c r="F389" t="s">
        <v>32</v>
      </c>
      <c r="G389">
        <v>35</v>
      </c>
      <c r="H389" t="s">
        <v>38</v>
      </c>
      <c r="I389" t="s">
        <v>16</v>
      </c>
      <c r="J389" t="s">
        <v>42</v>
      </c>
    </row>
    <row r="390" spans="1:10" x14ac:dyDescent="0.35">
      <c r="A390">
        <v>389</v>
      </c>
      <c r="B390" t="s">
        <v>44</v>
      </c>
      <c r="C390" t="s">
        <v>11</v>
      </c>
      <c r="D390" t="s">
        <v>12</v>
      </c>
      <c r="E390" t="s">
        <v>21</v>
      </c>
      <c r="F390" t="s">
        <v>22</v>
      </c>
      <c r="G390">
        <v>173</v>
      </c>
      <c r="H390" t="s">
        <v>33</v>
      </c>
      <c r="I390" t="s">
        <v>16</v>
      </c>
      <c r="J390" t="s">
        <v>17</v>
      </c>
    </row>
    <row r="391" spans="1:10" x14ac:dyDescent="0.35">
      <c r="A391">
        <v>390</v>
      </c>
      <c r="B391" t="s">
        <v>46</v>
      </c>
      <c r="C391" t="s">
        <v>26</v>
      </c>
      <c r="D391" t="s">
        <v>12</v>
      </c>
      <c r="E391" t="s">
        <v>59</v>
      </c>
      <c r="F391" t="s">
        <v>14</v>
      </c>
      <c r="G391">
        <v>174</v>
      </c>
      <c r="H391" t="s">
        <v>23</v>
      </c>
      <c r="I391" t="s">
        <v>24</v>
      </c>
      <c r="J391" t="s">
        <v>43</v>
      </c>
    </row>
    <row r="392" spans="1:10" x14ac:dyDescent="0.35">
      <c r="A392">
        <v>391</v>
      </c>
      <c r="B392" t="s">
        <v>35</v>
      </c>
      <c r="C392" t="s">
        <v>45</v>
      </c>
      <c r="D392" t="s">
        <v>20</v>
      </c>
      <c r="E392" t="s">
        <v>55</v>
      </c>
      <c r="F392" t="s">
        <v>22</v>
      </c>
      <c r="G392">
        <v>73</v>
      </c>
      <c r="H392" t="s">
        <v>23</v>
      </c>
      <c r="I392" t="s">
        <v>41</v>
      </c>
      <c r="J392" t="s">
        <v>50</v>
      </c>
    </row>
    <row r="393" spans="1:10" x14ac:dyDescent="0.35">
      <c r="A393">
        <v>392</v>
      </c>
      <c r="B393" t="s">
        <v>46</v>
      </c>
      <c r="C393" t="s">
        <v>30</v>
      </c>
      <c r="D393" t="s">
        <v>27</v>
      </c>
      <c r="E393" t="s">
        <v>37</v>
      </c>
      <c r="F393" t="s">
        <v>32</v>
      </c>
      <c r="G393">
        <v>94</v>
      </c>
      <c r="H393" t="s">
        <v>33</v>
      </c>
      <c r="I393" t="s">
        <v>24</v>
      </c>
      <c r="J393" t="s">
        <v>25</v>
      </c>
    </row>
    <row r="394" spans="1:10" x14ac:dyDescent="0.35">
      <c r="A394">
        <v>393</v>
      </c>
      <c r="B394" t="s">
        <v>58</v>
      </c>
      <c r="C394" t="s">
        <v>30</v>
      </c>
      <c r="D394" t="s">
        <v>27</v>
      </c>
      <c r="E394" t="s">
        <v>31</v>
      </c>
      <c r="F394" t="s">
        <v>14</v>
      </c>
      <c r="G394">
        <v>108</v>
      </c>
      <c r="H394" t="s">
        <v>33</v>
      </c>
      <c r="I394" t="s">
        <v>41</v>
      </c>
      <c r="J394" t="s">
        <v>39</v>
      </c>
    </row>
    <row r="395" spans="1:10" x14ac:dyDescent="0.35">
      <c r="A395">
        <v>394</v>
      </c>
      <c r="B395" t="s">
        <v>18</v>
      </c>
      <c r="C395" t="s">
        <v>47</v>
      </c>
      <c r="D395" t="s">
        <v>51</v>
      </c>
      <c r="E395" t="s">
        <v>60</v>
      </c>
      <c r="F395" t="s">
        <v>22</v>
      </c>
      <c r="G395">
        <v>278</v>
      </c>
      <c r="H395" t="s">
        <v>23</v>
      </c>
      <c r="I395" t="s">
        <v>16</v>
      </c>
      <c r="J395" t="s">
        <v>39</v>
      </c>
    </row>
    <row r="396" spans="1:10" x14ac:dyDescent="0.35">
      <c r="A396">
        <v>395</v>
      </c>
      <c r="B396" t="s">
        <v>10</v>
      </c>
      <c r="C396" t="s">
        <v>30</v>
      </c>
      <c r="D396" t="s">
        <v>27</v>
      </c>
      <c r="E396" t="s">
        <v>13</v>
      </c>
      <c r="F396" t="s">
        <v>32</v>
      </c>
      <c r="G396">
        <v>135</v>
      </c>
      <c r="H396" t="s">
        <v>33</v>
      </c>
      <c r="I396" t="s">
        <v>41</v>
      </c>
      <c r="J396" t="s">
        <v>52</v>
      </c>
    </row>
    <row r="397" spans="1:10" x14ac:dyDescent="0.35">
      <c r="A397">
        <v>396</v>
      </c>
      <c r="B397" t="s">
        <v>10</v>
      </c>
      <c r="C397" t="s">
        <v>47</v>
      </c>
      <c r="D397" t="s">
        <v>12</v>
      </c>
      <c r="E397" t="s">
        <v>55</v>
      </c>
      <c r="F397" t="s">
        <v>22</v>
      </c>
      <c r="G397">
        <v>173</v>
      </c>
      <c r="H397" t="s">
        <v>33</v>
      </c>
      <c r="I397" t="s">
        <v>41</v>
      </c>
      <c r="J397" t="s">
        <v>57</v>
      </c>
    </row>
    <row r="398" spans="1:10" x14ac:dyDescent="0.35">
      <c r="A398">
        <v>397</v>
      </c>
      <c r="B398" t="s">
        <v>10</v>
      </c>
      <c r="C398" t="s">
        <v>19</v>
      </c>
      <c r="D398" t="s">
        <v>27</v>
      </c>
      <c r="E398" t="s">
        <v>40</v>
      </c>
      <c r="F398" t="s">
        <v>14</v>
      </c>
      <c r="G398">
        <v>32</v>
      </c>
      <c r="H398" t="s">
        <v>29</v>
      </c>
      <c r="I398" t="s">
        <v>24</v>
      </c>
      <c r="J398" t="s">
        <v>25</v>
      </c>
    </row>
    <row r="399" spans="1:10" x14ac:dyDescent="0.35">
      <c r="A399">
        <v>398</v>
      </c>
      <c r="B399" t="s">
        <v>10</v>
      </c>
      <c r="C399" t="s">
        <v>30</v>
      </c>
      <c r="D399" t="s">
        <v>27</v>
      </c>
      <c r="E399" t="s">
        <v>40</v>
      </c>
      <c r="F399" t="s">
        <v>32</v>
      </c>
      <c r="G399">
        <v>39</v>
      </c>
      <c r="H399" t="s">
        <v>33</v>
      </c>
      <c r="I399" t="s">
        <v>24</v>
      </c>
      <c r="J399" t="s">
        <v>34</v>
      </c>
    </row>
    <row r="400" spans="1:10" x14ac:dyDescent="0.35">
      <c r="A400">
        <v>399</v>
      </c>
      <c r="B400" t="s">
        <v>44</v>
      </c>
      <c r="C400" t="s">
        <v>11</v>
      </c>
      <c r="D400" t="s">
        <v>12</v>
      </c>
      <c r="E400" t="s">
        <v>48</v>
      </c>
      <c r="F400" t="s">
        <v>32</v>
      </c>
      <c r="G400">
        <v>137</v>
      </c>
      <c r="H400" t="s">
        <v>15</v>
      </c>
      <c r="I400" t="s">
        <v>16</v>
      </c>
      <c r="J400" t="s">
        <v>42</v>
      </c>
    </row>
    <row r="401" spans="1:10" x14ac:dyDescent="0.35">
      <c r="A401">
        <v>400</v>
      </c>
      <c r="B401" t="s">
        <v>44</v>
      </c>
      <c r="C401" t="s">
        <v>19</v>
      </c>
      <c r="D401" t="s">
        <v>20</v>
      </c>
      <c r="E401" t="s">
        <v>59</v>
      </c>
      <c r="F401" t="s">
        <v>22</v>
      </c>
      <c r="G401">
        <v>248</v>
      </c>
      <c r="H401" t="s">
        <v>53</v>
      </c>
      <c r="I401" t="s">
        <v>24</v>
      </c>
      <c r="J401" t="s">
        <v>49</v>
      </c>
    </row>
    <row r="402" spans="1:10" x14ac:dyDescent="0.35">
      <c r="A402">
        <v>401</v>
      </c>
      <c r="B402" t="s">
        <v>44</v>
      </c>
      <c r="C402" t="s">
        <v>30</v>
      </c>
      <c r="D402" t="s">
        <v>51</v>
      </c>
      <c r="E402" t="s">
        <v>13</v>
      </c>
      <c r="F402" t="s">
        <v>22</v>
      </c>
      <c r="G402">
        <v>292</v>
      </c>
      <c r="H402" t="s">
        <v>33</v>
      </c>
      <c r="I402" t="s">
        <v>41</v>
      </c>
      <c r="J402" t="s">
        <v>52</v>
      </c>
    </row>
    <row r="403" spans="1:10" x14ac:dyDescent="0.35">
      <c r="A403">
        <v>402</v>
      </c>
      <c r="B403" t="s">
        <v>18</v>
      </c>
      <c r="C403" t="s">
        <v>30</v>
      </c>
      <c r="D403" t="s">
        <v>51</v>
      </c>
      <c r="E403" t="s">
        <v>37</v>
      </c>
      <c r="F403" t="s">
        <v>14</v>
      </c>
      <c r="G403">
        <v>140</v>
      </c>
      <c r="H403" t="s">
        <v>33</v>
      </c>
      <c r="I403" t="s">
        <v>24</v>
      </c>
      <c r="J403" t="s">
        <v>34</v>
      </c>
    </row>
    <row r="404" spans="1:10" x14ac:dyDescent="0.35">
      <c r="A404">
        <v>403</v>
      </c>
      <c r="B404" t="s">
        <v>58</v>
      </c>
      <c r="C404" t="s">
        <v>47</v>
      </c>
      <c r="D404" t="s">
        <v>27</v>
      </c>
      <c r="E404" t="s">
        <v>21</v>
      </c>
      <c r="F404" t="s">
        <v>14</v>
      </c>
      <c r="G404">
        <v>233</v>
      </c>
      <c r="H404" t="s">
        <v>33</v>
      </c>
      <c r="I404" t="s">
        <v>24</v>
      </c>
      <c r="J404" t="s">
        <v>42</v>
      </c>
    </row>
    <row r="405" spans="1:10" x14ac:dyDescent="0.35">
      <c r="A405">
        <v>404</v>
      </c>
      <c r="B405" t="s">
        <v>10</v>
      </c>
      <c r="C405" t="s">
        <v>45</v>
      </c>
      <c r="D405" t="s">
        <v>36</v>
      </c>
      <c r="E405" t="s">
        <v>48</v>
      </c>
      <c r="F405" t="s">
        <v>32</v>
      </c>
      <c r="G405">
        <v>211</v>
      </c>
      <c r="H405" t="s">
        <v>33</v>
      </c>
      <c r="I405" t="s">
        <v>41</v>
      </c>
      <c r="J405" t="s">
        <v>49</v>
      </c>
    </row>
    <row r="406" spans="1:10" x14ac:dyDescent="0.35">
      <c r="A406">
        <v>405</v>
      </c>
      <c r="B406" t="s">
        <v>58</v>
      </c>
      <c r="C406" t="s">
        <v>45</v>
      </c>
      <c r="D406" t="s">
        <v>12</v>
      </c>
      <c r="E406" t="s">
        <v>28</v>
      </c>
      <c r="F406" t="s">
        <v>22</v>
      </c>
      <c r="G406">
        <v>169</v>
      </c>
      <c r="H406" t="s">
        <v>38</v>
      </c>
      <c r="I406" t="s">
        <v>24</v>
      </c>
      <c r="J406" t="s">
        <v>42</v>
      </c>
    </row>
    <row r="407" spans="1:10" x14ac:dyDescent="0.35">
      <c r="A407">
        <v>406</v>
      </c>
      <c r="B407" t="s">
        <v>10</v>
      </c>
      <c r="C407" t="s">
        <v>47</v>
      </c>
      <c r="D407" t="s">
        <v>20</v>
      </c>
      <c r="E407" t="s">
        <v>55</v>
      </c>
      <c r="F407" t="s">
        <v>14</v>
      </c>
      <c r="G407">
        <v>289</v>
      </c>
      <c r="H407" t="s">
        <v>23</v>
      </c>
      <c r="I407" t="s">
        <v>16</v>
      </c>
      <c r="J407" t="s">
        <v>52</v>
      </c>
    </row>
    <row r="408" spans="1:10" x14ac:dyDescent="0.35">
      <c r="A408">
        <v>407</v>
      </c>
      <c r="B408" t="s">
        <v>35</v>
      </c>
      <c r="C408" t="s">
        <v>47</v>
      </c>
      <c r="D408" t="s">
        <v>27</v>
      </c>
      <c r="E408" t="s">
        <v>21</v>
      </c>
      <c r="F408" t="s">
        <v>14</v>
      </c>
      <c r="G408">
        <v>128</v>
      </c>
      <c r="H408" t="s">
        <v>15</v>
      </c>
      <c r="I408" t="s">
        <v>16</v>
      </c>
      <c r="J408" t="s">
        <v>43</v>
      </c>
    </row>
    <row r="409" spans="1:10" x14ac:dyDescent="0.35">
      <c r="A409">
        <v>408</v>
      </c>
      <c r="B409" t="s">
        <v>18</v>
      </c>
      <c r="C409" t="s">
        <v>45</v>
      </c>
      <c r="D409" t="s">
        <v>20</v>
      </c>
      <c r="E409" t="s">
        <v>55</v>
      </c>
      <c r="F409" t="s">
        <v>22</v>
      </c>
      <c r="G409">
        <v>216</v>
      </c>
      <c r="H409" t="s">
        <v>38</v>
      </c>
      <c r="I409" t="s">
        <v>24</v>
      </c>
      <c r="J409" t="s">
        <v>57</v>
      </c>
    </row>
    <row r="410" spans="1:10" x14ac:dyDescent="0.35">
      <c r="A410">
        <v>409</v>
      </c>
      <c r="B410" t="s">
        <v>35</v>
      </c>
      <c r="C410" t="s">
        <v>11</v>
      </c>
      <c r="D410" t="s">
        <v>20</v>
      </c>
      <c r="E410" t="s">
        <v>31</v>
      </c>
      <c r="F410" t="s">
        <v>32</v>
      </c>
      <c r="G410">
        <v>238</v>
      </c>
      <c r="H410" t="s">
        <v>15</v>
      </c>
      <c r="I410" t="s">
        <v>24</v>
      </c>
      <c r="J410" t="s">
        <v>42</v>
      </c>
    </row>
    <row r="411" spans="1:10" x14ac:dyDescent="0.35">
      <c r="A411">
        <v>410</v>
      </c>
      <c r="B411" t="s">
        <v>58</v>
      </c>
      <c r="C411" t="s">
        <v>19</v>
      </c>
      <c r="D411" t="s">
        <v>36</v>
      </c>
      <c r="E411" t="s">
        <v>60</v>
      </c>
      <c r="F411" t="s">
        <v>32</v>
      </c>
      <c r="G411">
        <v>300</v>
      </c>
      <c r="H411" t="s">
        <v>15</v>
      </c>
      <c r="I411" t="s">
        <v>24</v>
      </c>
      <c r="J411" t="s">
        <v>57</v>
      </c>
    </row>
    <row r="412" spans="1:10" x14ac:dyDescent="0.35">
      <c r="A412">
        <v>411</v>
      </c>
      <c r="B412" t="s">
        <v>18</v>
      </c>
      <c r="C412" t="s">
        <v>19</v>
      </c>
      <c r="D412" t="s">
        <v>27</v>
      </c>
      <c r="E412" t="s">
        <v>60</v>
      </c>
      <c r="F412" t="s">
        <v>32</v>
      </c>
      <c r="G412">
        <v>202</v>
      </c>
      <c r="H412" t="s">
        <v>15</v>
      </c>
      <c r="I412" t="s">
        <v>41</v>
      </c>
      <c r="J412" t="s">
        <v>42</v>
      </c>
    </row>
    <row r="413" spans="1:10" x14ac:dyDescent="0.35">
      <c r="A413">
        <v>412</v>
      </c>
      <c r="B413" t="s">
        <v>18</v>
      </c>
      <c r="C413" t="s">
        <v>30</v>
      </c>
      <c r="D413" t="s">
        <v>20</v>
      </c>
      <c r="E413" t="s">
        <v>48</v>
      </c>
      <c r="F413" t="s">
        <v>14</v>
      </c>
      <c r="G413">
        <v>208</v>
      </c>
      <c r="H413" t="s">
        <v>23</v>
      </c>
      <c r="I413" t="s">
        <v>24</v>
      </c>
      <c r="J413" t="s">
        <v>57</v>
      </c>
    </row>
    <row r="414" spans="1:10" x14ac:dyDescent="0.35">
      <c r="A414">
        <v>413</v>
      </c>
      <c r="B414" t="s">
        <v>35</v>
      </c>
      <c r="C414" t="s">
        <v>30</v>
      </c>
      <c r="D414" t="s">
        <v>20</v>
      </c>
      <c r="E414" t="s">
        <v>48</v>
      </c>
      <c r="F414" t="s">
        <v>32</v>
      </c>
      <c r="G414">
        <v>86</v>
      </c>
      <c r="H414" t="s">
        <v>33</v>
      </c>
      <c r="I414" t="s">
        <v>24</v>
      </c>
      <c r="J414" t="s">
        <v>54</v>
      </c>
    </row>
    <row r="415" spans="1:10" x14ac:dyDescent="0.35">
      <c r="A415">
        <v>414</v>
      </c>
      <c r="B415" t="s">
        <v>35</v>
      </c>
      <c r="C415" t="s">
        <v>19</v>
      </c>
      <c r="D415" t="s">
        <v>12</v>
      </c>
      <c r="E415" t="s">
        <v>60</v>
      </c>
      <c r="F415" t="s">
        <v>14</v>
      </c>
      <c r="G415">
        <v>216</v>
      </c>
      <c r="H415" t="s">
        <v>23</v>
      </c>
      <c r="I415" t="s">
        <v>16</v>
      </c>
      <c r="J415" t="s">
        <v>54</v>
      </c>
    </row>
    <row r="416" spans="1:10" x14ac:dyDescent="0.35">
      <c r="A416">
        <v>415</v>
      </c>
      <c r="B416" t="s">
        <v>46</v>
      </c>
      <c r="C416" t="s">
        <v>26</v>
      </c>
      <c r="D416" t="s">
        <v>36</v>
      </c>
      <c r="E416" t="s">
        <v>31</v>
      </c>
      <c r="F416" t="s">
        <v>14</v>
      </c>
      <c r="G416">
        <v>166</v>
      </c>
      <c r="H416" t="s">
        <v>23</v>
      </c>
      <c r="I416" t="s">
        <v>16</v>
      </c>
      <c r="J416" t="s">
        <v>39</v>
      </c>
    </row>
    <row r="417" spans="1:10" x14ac:dyDescent="0.35">
      <c r="A417">
        <v>416</v>
      </c>
      <c r="B417" t="s">
        <v>46</v>
      </c>
      <c r="C417" t="s">
        <v>11</v>
      </c>
      <c r="D417" t="s">
        <v>12</v>
      </c>
      <c r="E417" t="s">
        <v>28</v>
      </c>
      <c r="F417" t="s">
        <v>14</v>
      </c>
      <c r="G417">
        <v>244</v>
      </c>
      <c r="H417" t="s">
        <v>33</v>
      </c>
      <c r="I417" t="s">
        <v>41</v>
      </c>
      <c r="J417" t="s">
        <v>34</v>
      </c>
    </row>
    <row r="418" spans="1:10" x14ac:dyDescent="0.35">
      <c r="A418">
        <v>417</v>
      </c>
      <c r="B418" t="s">
        <v>35</v>
      </c>
      <c r="C418" t="s">
        <v>30</v>
      </c>
      <c r="D418" t="s">
        <v>51</v>
      </c>
      <c r="E418" t="s">
        <v>60</v>
      </c>
      <c r="F418" t="s">
        <v>22</v>
      </c>
      <c r="G418">
        <v>260</v>
      </c>
      <c r="H418" t="s">
        <v>15</v>
      </c>
      <c r="I418" t="s">
        <v>24</v>
      </c>
      <c r="J418" t="s">
        <v>49</v>
      </c>
    </row>
    <row r="419" spans="1:10" x14ac:dyDescent="0.35">
      <c r="A419">
        <v>418</v>
      </c>
      <c r="B419" t="s">
        <v>35</v>
      </c>
      <c r="C419" t="s">
        <v>26</v>
      </c>
      <c r="D419" t="s">
        <v>20</v>
      </c>
      <c r="E419" t="s">
        <v>13</v>
      </c>
      <c r="F419" t="s">
        <v>22</v>
      </c>
      <c r="G419">
        <v>68</v>
      </c>
      <c r="H419" t="s">
        <v>53</v>
      </c>
      <c r="I419" t="s">
        <v>24</v>
      </c>
      <c r="J419" t="s">
        <v>42</v>
      </c>
    </row>
    <row r="420" spans="1:10" x14ac:dyDescent="0.35">
      <c r="A420">
        <v>419</v>
      </c>
      <c r="B420" t="s">
        <v>46</v>
      </c>
      <c r="C420" t="s">
        <v>11</v>
      </c>
      <c r="D420" t="s">
        <v>36</v>
      </c>
      <c r="E420" t="s">
        <v>55</v>
      </c>
      <c r="F420" t="s">
        <v>22</v>
      </c>
      <c r="G420">
        <v>59</v>
      </c>
      <c r="H420" t="s">
        <v>33</v>
      </c>
      <c r="I420" t="s">
        <v>41</v>
      </c>
      <c r="J420" t="s">
        <v>25</v>
      </c>
    </row>
    <row r="421" spans="1:10" x14ac:dyDescent="0.35">
      <c r="A421">
        <v>420</v>
      </c>
      <c r="B421" t="s">
        <v>10</v>
      </c>
      <c r="C421" t="s">
        <v>30</v>
      </c>
      <c r="D421" t="s">
        <v>51</v>
      </c>
      <c r="E421" t="s">
        <v>13</v>
      </c>
      <c r="F421" t="s">
        <v>22</v>
      </c>
      <c r="G421">
        <v>220</v>
      </c>
      <c r="H421" t="s">
        <v>29</v>
      </c>
      <c r="I421" t="s">
        <v>16</v>
      </c>
      <c r="J421" t="s">
        <v>50</v>
      </c>
    </row>
    <row r="422" spans="1:10" x14ac:dyDescent="0.35">
      <c r="A422">
        <v>421</v>
      </c>
      <c r="B422" t="s">
        <v>46</v>
      </c>
      <c r="C422" t="s">
        <v>45</v>
      </c>
      <c r="D422" t="s">
        <v>12</v>
      </c>
      <c r="E422" t="s">
        <v>48</v>
      </c>
      <c r="F422" t="s">
        <v>32</v>
      </c>
      <c r="G422">
        <v>220</v>
      </c>
      <c r="H422" t="s">
        <v>38</v>
      </c>
      <c r="I422" t="s">
        <v>41</v>
      </c>
      <c r="J422" t="s">
        <v>17</v>
      </c>
    </row>
    <row r="423" spans="1:10" x14ac:dyDescent="0.35">
      <c r="A423">
        <v>422</v>
      </c>
      <c r="B423" t="s">
        <v>58</v>
      </c>
      <c r="C423" t="s">
        <v>47</v>
      </c>
      <c r="D423" t="s">
        <v>20</v>
      </c>
      <c r="E423" t="s">
        <v>21</v>
      </c>
      <c r="F423" t="s">
        <v>22</v>
      </c>
      <c r="G423">
        <v>225</v>
      </c>
      <c r="H423" t="s">
        <v>33</v>
      </c>
      <c r="I423" t="s">
        <v>16</v>
      </c>
      <c r="J423" t="s">
        <v>25</v>
      </c>
    </row>
    <row r="424" spans="1:10" x14ac:dyDescent="0.35">
      <c r="A424">
        <v>423</v>
      </c>
      <c r="B424" t="s">
        <v>35</v>
      </c>
      <c r="C424" t="s">
        <v>30</v>
      </c>
      <c r="D424" t="s">
        <v>20</v>
      </c>
      <c r="E424" t="s">
        <v>13</v>
      </c>
      <c r="F424" t="s">
        <v>14</v>
      </c>
      <c r="G424">
        <v>29</v>
      </c>
      <c r="H424" t="s">
        <v>23</v>
      </c>
      <c r="I424" t="s">
        <v>41</v>
      </c>
      <c r="J424" t="s">
        <v>34</v>
      </c>
    </row>
    <row r="425" spans="1:10" x14ac:dyDescent="0.35">
      <c r="A425">
        <v>424</v>
      </c>
      <c r="B425" t="s">
        <v>10</v>
      </c>
      <c r="C425" t="s">
        <v>19</v>
      </c>
      <c r="D425" t="s">
        <v>27</v>
      </c>
      <c r="E425" t="s">
        <v>31</v>
      </c>
      <c r="F425" t="s">
        <v>32</v>
      </c>
      <c r="G425">
        <v>204</v>
      </c>
      <c r="H425" t="s">
        <v>15</v>
      </c>
      <c r="I425" t="s">
        <v>41</v>
      </c>
      <c r="J425" t="s">
        <v>57</v>
      </c>
    </row>
    <row r="426" spans="1:10" x14ac:dyDescent="0.35">
      <c r="A426">
        <v>425</v>
      </c>
      <c r="B426" t="s">
        <v>10</v>
      </c>
      <c r="C426" t="s">
        <v>19</v>
      </c>
      <c r="D426" t="s">
        <v>20</v>
      </c>
      <c r="E426" t="s">
        <v>55</v>
      </c>
      <c r="F426" t="s">
        <v>32</v>
      </c>
      <c r="G426">
        <v>115</v>
      </c>
      <c r="H426" t="s">
        <v>53</v>
      </c>
      <c r="I426" t="s">
        <v>41</v>
      </c>
      <c r="J426" t="s">
        <v>56</v>
      </c>
    </row>
    <row r="427" spans="1:10" x14ac:dyDescent="0.35">
      <c r="A427">
        <v>426</v>
      </c>
      <c r="B427" t="s">
        <v>44</v>
      </c>
      <c r="C427" t="s">
        <v>30</v>
      </c>
      <c r="D427" t="s">
        <v>12</v>
      </c>
      <c r="E427" t="s">
        <v>37</v>
      </c>
      <c r="F427" t="s">
        <v>22</v>
      </c>
      <c r="G427">
        <v>298</v>
      </c>
      <c r="H427" t="s">
        <v>38</v>
      </c>
      <c r="I427" t="s">
        <v>24</v>
      </c>
      <c r="J427" t="s">
        <v>56</v>
      </c>
    </row>
    <row r="428" spans="1:10" x14ac:dyDescent="0.35">
      <c r="A428">
        <v>427</v>
      </c>
      <c r="B428" t="s">
        <v>46</v>
      </c>
      <c r="C428" t="s">
        <v>26</v>
      </c>
      <c r="D428" t="s">
        <v>51</v>
      </c>
      <c r="E428" t="s">
        <v>37</v>
      </c>
      <c r="F428" t="s">
        <v>14</v>
      </c>
      <c r="G428">
        <v>166</v>
      </c>
      <c r="H428" t="s">
        <v>33</v>
      </c>
      <c r="I428" t="s">
        <v>41</v>
      </c>
      <c r="J428" t="s">
        <v>49</v>
      </c>
    </row>
    <row r="429" spans="1:10" x14ac:dyDescent="0.35">
      <c r="A429">
        <v>428</v>
      </c>
      <c r="B429" t="s">
        <v>44</v>
      </c>
      <c r="C429" t="s">
        <v>26</v>
      </c>
      <c r="D429" t="s">
        <v>27</v>
      </c>
      <c r="E429" t="s">
        <v>21</v>
      </c>
      <c r="F429" t="s">
        <v>22</v>
      </c>
      <c r="G429">
        <v>88</v>
      </c>
      <c r="H429" t="s">
        <v>33</v>
      </c>
      <c r="I429" t="s">
        <v>41</v>
      </c>
      <c r="J429" t="s">
        <v>50</v>
      </c>
    </row>
    <row r="430" spans="1:10" x14ac:dyDescent="0.35">
      <c r="A430">
        <v>429</v>
      </c>
      <c r="B430" t="s">
        <v>58</v>
      </c>
      <c r="C430" t="s">
        <v>45</v>
      </c>
      <c r="D430" t="s">
        <v>12</v>
      </c>
      <c r="E430" t="s">
        <v>48</v>
      </c>
      <c r="F430" t="s">
        <v>32</v>
      </c>
      <c r="G430">
        <v>244</v>
      </c>
      <c r="H430" t="s">
        <v>15</v>
      </c>
      <c r="I430" t="s">
        <v>41</v>
      </c>
      <c r="J430" t="s">
        <v>49</v>
      </c>
    </row>
    <row r="431" spans="1:10" x14ac:dyDescent="0.35">
      <c r="A431">
        <v>430</v>
      </c>
      <c r="B431" t="s">
        <v>35</v>
      </c>
      <c r="C431" t="s">
        <v>30</v>
      </c>
      <c r="D431" t="s">
        <v>27</v>
      </c>
      <c r="E431" t="s">
        <v>60</v>
      </c>
      <c r="F431" t="s">
        <v>32</v>
      </c>
      <c r="G431">
        <v>168</v>
      </c>
      <c r="H431" t="s">
        <v>23</v>
      </c>
      <c r="I431" t="s">
        <v>41</v>
      </c>
      <c r="J431" t="s">
        <v>25</v>
      </c>
    </row>
    <row r="432" spans="1:10" x14ac:dyDescent="0.35">
      <c r="A432">
        <v>431</v>
      </c>
      <c r="B432" t="s">
        <v>35</v>
      </c>
      <c r="C432" t="s">
        <v>11</v>
      </c>
      <c r="D432" t="s">
        <v>27</v>
      </c>
      <c r="E432" t="s">
        <v>21</v>
      </c>
      <c r="F432" t="s">
        <v>32</v>
      </c>
      <c r="G432">
        <v>56</v>
      </c>
      <c r="H432" t="s">
        <v>38</v>
      </c>
      <c r="I432" t="s">
        <v>24</v>
      </c>
      <c r="J432" t="s">
        <v>50</v>
      </c>
    </row>
    <row r="433" spans="1:10" x14ac:dyDescent="0.35">
      <c r="A433">
        <v>432</v>
      </c>
      <c r="B433" t="s">
        <v>10</v>
      </c>
      <c r="C433" t="s">
        <v>26</v>
      </c>
      <c r="D433" t="s">
        <v>27</v>
      </c>
      <c r="E433" t="s">
        <v>13</v>
      </c>
      <c r="F433" t="s">
        <v>14</v>
      </c>
      <c r="G433">
        <v>204</v>
      </c>
      <c r="H433" t="s">
        <v>15</v>
      </c>
      <c r="I433" t="s">
        <v>41</v>
      </c>
      <c r="J433" t="s">
        <v>50</v>
      </c>
    </row>
    <row r="434" spans="1:10" x14ac:dyDescent="0.35">
      <c r="A434">
        <v>433</v>
      </c>
      <c r="B434" t="s">
        <v>18</v>
      </c>
      <c r="C434" t="s">
        <v>19</v>
      </c>
      <c r="D434" t="s">
        <v>51</v>
      </c>
      <c r="E434" t="s">
        <v>60</v>
      </c>
      <c r="F434" t="s">
        <v>32</v>
      </c>
      <c r="G434">
        <v>20</v>
      </c>
      <c r="H434" t="s">
        <v>33</v>
      </c>
      <c r="I434" t="s">
        <v>24</v>
      </c>
      <c r="J434" t="s">
        <v>49</v>
      </c>
    </row>
    <row r="435" spans="1:10" x14ac:dyDescent="0.35">
      <c r="A435">
        <v>434</v>
      </c>
      <c r="B435" t="s">
        <v>18</v>
      </c>
      <c r="C435" t="s">
        <v>26</v>
      </c>
      <c r="D435" t="s">
        <v>51</v>
      </c>
      <c r="E435" t="s">
        <v>40</v>
      </c>
      <c r="F435" t="s">
        <v>32</v>
      </c>
      <c r="G435">
        <v>243</v>
      </c>
      <c r="H435" t="s">
        <v>15</v>
      </c>
      <c r="I435" t="s">
        <v>24</v>
      </c>
      <c r="J435" t="s">
        <v>34</v>
      </c>
    </row>
    <row r="436" spans="1:10" x14ac:dyDescent="0.35">
      <c r="A436">
        <v>435</v>
      </c>
      <c r="B436" t="s">
        <v>18</v>
      </c>
      <c r="C436" t="s">
        <v>47</v>
      </c>
      <c r="D436" t="s">
        <v>51</v>
      </c>
      <c r="E436" t="s">
        <v>40</v>
      </c>
      <c r="F436" t="s">
        <v>22</v>
      </c>
      <c r="G436">
        <v>187</v>
      </c>
      <c r="H436" t="s">
        <v>29</v>
      </c>
      <c r="I436" t="s">
        <v>16</v>
      </c>
      <c r="J436" t="s">
        <v>42</v>
      </c>
    </row>
    <row r="437" spans="1:10" x14ac:dyDescent="0.35">
      <c r="A437">
        <v>436</v>
      </c>
      <c r="B437" t="s">
        <v>46</v>
      </c>
      <c r="C437" t="s">
        <v>30</v>
      </c>
      <c r="D437" t="s">
        <v>12</v>
      </c>
      <c r="E437" t="s">
        <v>21</v>
      </c>
      <c r="F437" t="s">
        <v>22</v>
      </c>
      <c r="G437">
        <v>123</v>
      </c>
      <c r="H437" t="s">
        <v>15</v>
      </c>
      <c r="I437" t="s">
        <v>16</v>
      </c>
      <c r="J437" t="s">
        <v>42</v>
      </c>
    </row>
    <row r="438" spans="1:10" x14ac:dyDescent="0.35">
      <c r="A438">
        <v>437</v>
      </c>
      <c r="B438" t="s">
        <v>10</v>
      </c>
      <c r="C438" t="s">
        <v>19</v>
      </c>
      <c r="D438" t="s">
        <v>12</v>
      </c>
      <c r="E438" t="s">
        <v>55</v>
      </c>
      <c r="F438" t="s">
        <v>22</v>
      </c>
      <c r="G438">
        <v>152</v>
      </c>
      <c r="H438" t="s">
        <v>38</v>
      </c>
      <c r="I438" t="s">
        <v>24</v>
      </c>
      <c r="J438" t="s">
        <v>42</v>
      </c>
    </row>
    <row r="439" spans="1:10" x14ac:dyDescent="0.35">
      <c r="A439">
        <v>438</v>
      </c>
      <c r="B439" t="s">
        <v>44</v>
      </c>
      <c r="C439" t="s">
        <v>45</v>
      </c>
      <c r="D439" t="s">
        <v>27</v>
      </c>
      <c r="E439" t="s">
        <v>21</v>
      </c>
      <c r="F439" t="s">
        <v>32</v>
      </c>
      <c r="G439">
        <v>234</v>
      </c>
      <c r="H439" t="s">
        <v>23</v>
      </c>
      <c r="I439" t="s">
        <v>16</v>
      </c>
      <c r="J439" t="s">
        <v>49</v>
      </c>
    </row>
    <row r="440" spans="1:10" x14ac:dyDescent="0.35">
      <c r="A440">
        <v>439</v>
      </c>
      <c r="B440" t="s">
        <v>18</v>
      </c>
      <c r="C440" t="s">
        <v>30</v>
      </c>
      <c r="D440" t="s">
        <v>12</v>
      </c>
      <c r="E440" t="s">
        <v>31</v>
      </c>
      <c r="F440" t="s">
        <v>32</v>
      </c>
      <c r="G440">
        <v>72</v>
      </c>
      <c r="H440" t="s">
        <v>23</v>
      </c>
      <c r="I440" t="s">
        <v>41</v>
      </c>
      <c r="J440" t="s">
        <v>42</v>
      </c>
    </row>
    <row r="441" spans="1:10" x14ac:dyDescent="0.35">
      <c r="A441">
        <v>440</v>
      </c>
      <c r="B441" t="s">
        <v>18</v>
      </c>
      <c r="C441" t="s">
        <v>19</v>
      </c>
      <c r="D441" t="s">
        <v>36</v>
      </c>
      <c r="E441" t="s">
        <v>40</v>
      </c>
      <c r="F441" t="s">
        <v>22</v>
      </c>
      <c r="G441">
        <v>189</v>
      </c>
      <c r="H441" t="s">
        <v>38</v>
      </c>
      <c r="I441" t="s">
        <v>41</v>
      </c>
      <c r="J441" t="s">
        <v>43</v>
      </c>
    </row>
    <row r="442" spans="1:10" x14ac:dyDescent="0.35">
      <c r="A442">
        <v>441</v>
      </c>
      <c r="B442" t="s">
        <v>46</v>
      </c>
      <c r="C442" t="s">
        <v>26</v>
      </c>
      <c r="D442" t="s">
        <v>20</v>
      </c>
      <c r="E442" t="s">
        <v>28</v>
      </c>
      <c r="F442" t="s">
        <v>32</v>
      </c>
      <c r="G442">
        <v>214</v>
      </c>
      <c r="H442" t="s">
        <v>29</v>
      </c>
      <c r="I442" t="s">
        <v>16</v>
      </c>
      <c r="J442" t="s">
        <v>49</v>
      </c>
    </row>
    <row r="443" spans="1:10" x14ac:dyDescent="0.35">
      <c r="A443">
        <v>442</v>
      </c>
      <c r="B443" t="s">
        <v>58</v>
      </c>
      <c r="C443" t="s">
        <v>45</v>
      </c>
      <c r="D443" t="s">
        <v>27</v>
      </c>
      <c r="E443" t="s">
        <v>13</v>
      </c>
      <c r="F443" t="s">
        <v>14</v>
      </c>
      <c r="G443">
        <v>139</v>
      </c>
      <c r="H443" t="s">
        <v>33</v>
      </c>
      <c r="I443" t="s">
        <v>24</v>
      </c>
      <c r="J443" t="s">
        <v>42</v>
      </c>
    </row>
    <row r="444" spans="1:10" x14ac:dyDescent="0.35">
      <c r="A444">
        <v>443</v>
      </c>
      <c r="B444" t="s">
        <v>58</v>
      </c>
      <c r="C444" t="s">
        <v>47</v>
      </c>
      <c r="D444" t="s">
        <v>12</v>
      </c>
      <c r="E444" t="s">
        <v>21</v>
      </c>
      <c r="F444" t="s">
        <v>32</v>
      </c>
      <c r="G444">
        <v>100</v>
      </c>
      <c r="H444" t="s">
        <v>53</v>
      </c>
      <c r="I444" t="s">
        <v>41</v>
      </c>
      <c r="J444" t="s">
        <v>17</v>
      </c>
    </row>
    <row r="445" spans="1:10" x14ac:dyDescent="0.35">
      <c r="A445">
        <v>444</v>
      </c>
      <c r="B445" t="s">
        <v>18</v>
      </c>
      <c r="C445" t="s">
        <v>11</v>
      </c>
      <c r="D445" t="s">
        <v>51</v>
      </c>
      <c r="E445" t="s">
        <v>13</v>
      </c>
      <c r="F445" t="s">
        <v>22</v>
      </c>
      <c r="G445">
        <v>120</v>
      </c>
      <c r="H445" t="s">
        <v>29</v>
      </c>
      <c r="I445" t="s">
        <v>41</v>
      </c>
      <c r="J445" t="s">
        <v>39</v>
      </c>
    </row>
    <row r="446" spans="1:10" x14ac:dyDescent="0.35">
      <c r="A446">
        <v>445</v>
      </c>
      <c r="B446" t="s">
        <v>10</v>
      </c>
      <c r="C446" t="s">
        <v>30</v>
      </c>
      <c r="D446" t="s">
        <v>20</v>
      </c>
      <c r="E446" t="s">
        <v>60</v>
      </c>
      <c r="F446" t="s">
        <v>22</v>
      </c>
      <c r="G446">
        <v>114</v>
      </c>
      <c r="H446" t="s">
        <v>33</v>
      </c>
      <c r="I446" t="s">
        <v>16</v>
      </c>
      <c r="J446" t="s">
        <v>17</v>
      </c>
    </row>
    <row r="447" spans="1:10" x14ac:dyDescent="0.35">
      <c r="A447">
        <v>446</v>
      </c>
      <c r="B447" t="s">
        <v>35</v>
      </c>
      <c r="C447" t="s">
        <v>45</v>
      </c>
      <c r="D447" t="s">
        <v>20</v>
      </c>
      <c r="E447" t="s">
        <v>37</v>
      </c>
      <c r="F447" t="s">
        <v>22</v>
      </c>
      <c r="G447">
        <v>233</v>
      </c>
      <c r="H447" t="s">
        <v>38</v>
      </c>
      <c r="I447" t="s">
        <v>24</v>
      </c>
      <c r="J447" t="s">
        <v>57</v>
      </c>
    </row>
    <row r="448" spans="1:10" x14ac:dyDescent="0.35">
      <c r="A448">
        <v>447</v>
      </c>
      <c r="B448" t="s">
        <v>58</v>
      </c>
      <c r="C448" t="s">
        <v>19</v>
      </c>
      <c r="D448" t="s">
        <v>27</v>
      </c>
      <c r="E448" t="s">
        <v>40</v>
      </c>
      <c r="F448" t="s">
        <v>22</v>
      </c>
      <c r="G448">
        <v>278</v>
      </c>
      <c r="H448" t="s">
        <v>23</v>
      </c>
      <c r="I448" t="s">
        <v>16</v>
      </c>
      <c r="J448" t="s">
        <v>54</v>
      </c>
    </row>
    <row r="449" spans="1:10" x14ac:dyDescent="0.35">
      <c r="A449">
        <v>448</v>
      </c>
      <c r="B449" t="s">
        <v>18</v>
      </c>
      <c r="C449" t="s">
        <v>30</v>
      </c>
      <c r="D449" t="s">
        <v>36</v>
      </c>
      <c r="E449" t="s">
        <v>28</v>
      </c>
      <c r="F449" t="s">
        <v>32</v>
      </c>
      <c r="G449">
        <v>41</v>
      </c>
      <c r="H449" t="s">
        <v>15</v>
      </c>
      <c r="I449" t="s">
        <v>24</v>
      </c>
      <c r="J449" t="s">
        <v>17</v>
      </c>
    </row>
    <row r="450" spans="1:10" x14ac:dyDescent="0.35">
      <c r="A450">
        <v>449</v>
      </c>
      <c r="B450" t="s">
        <v>44</v>
      </c>
      <c r="C450" t="s">
        <v>26</v>
      </c>
      <c r="D450" t="s">
        <v>36</v>
      </c>
      <c r="E450" t="s">
        <v>21</v>
      </c>
      <c r="F450" t="s">
        <v>14</v>
      </c>
      <c r="G450">
        <v>265</v>
      </c>
      <c r="H450" t="s">
        <v>23</v>
      </c>
      <c r="I450" t="s">
        <v>16</v>
      </c>
      <c r="J450" t="s">
        <v>52</v>
      </c>
    </row>
    <row r="451" spans="1:10" x14ac:dyDescent="0.35">
      <c r="A451">
        <v>450</v>
      </c>
      <c r="B451" t="s">
        <v>35</v>
      </c>
      <c r="C451" t="s">
        <v>30</v>
      </c>
      <c r="D451" t="s">
        <v>20</v>
      </c>
      <c r="E451" t="s">
        <v>60</v>
      </c>
      <c r="F451" t="s">
        <v>14</v>
      </c>
      <c r="G451">
        <v>211</v>
      </c>
      <c r="H451" t="s">
        <v>29</v>
      </c>
      <c r="I451" t="s">
        <v>24</v>
      </c>
      <c r="J451" t="s">
        <v>34</v>
      </c>
    </row>
    <row r="452" spans="1:10" x14ac:dyDescent="0.35">
      <c r="A452">
        <v>451</v>
      </c>
      <c r="B452" t="s">
        <v>18</v>
      </c>
      <c r="C452" t="s">
        <v>26</v>
      </c>
      <c r="D452" t="s">
        <v>12</v>
      </c>
      <c r="E452" t="s">
        <v>55</v>
      </c>
      <c r="F452" t="s">
        <v>32</v>
      </c>
      <c r="G452">
        <v>74</v>
      </c>
      <c r="H452" t="s">
        <v>23</v>
      </c>
      <c r="I452" t="s">
        <v>16</v>
      </c>
      <c r="J452" t="s">
        <v>39</v>
      </c>
    </row>
    <row r="453" spans="1:10" x14ac:dyDescent="0.35">
      <c r="A453">
        <v>452</v>
      </c>
      <c r="B453" t="s">
        <v>58</v>
      </c>
      <c r="C453" t="s">
        <v>47</v>
      </c>
      <c r="D453" t="s">
        <v>20</v>
      </c>
      <c r="E453" t="s">
        <v>37</v>
      </c>
      <c r="F453" t="s">
        <v>22</v>
      </c>
      <c r="G453">
        <v>155</v>
      </c>
      <c r="H453" t="s">
        <v>38</v>
      </c>
      <c r="I453" t="s">
        <v>16</v>
      </c>
      <c r="J453" t="s">
        <v>52</v>
      </c>
    </row>
    <row r="454" spans="1:10" x14ac:dyDescent="0.35">
      <c r="A454">
        <v>453</v>
      </c>
      <c r="B454" t="s">
        <v>44</v>
      </c>
      <c r="C454" t="s">
        <v>30</v>
      </c>
      <c r="D454" t="s">
        <v>51</v>
      </c>
      <c r="E454" t="s">
        <v>48</v>
      </c>
      <c r="F454" t="s">
        <v>14</v>
      </c>
      <c r="G454">
        <v>262</v>
      </c>
      <c r="H454" t="s">
        <v>38</v>
      </c>
      <c r="I454" t="s">
        <v>41</v>
      </c>
      <c r="J454" t="s">
        <v>17</v>
      </c>
    </row>
    <row r="455" spans="1:10" x14ac:dyDescent="0.35">
      <c r="A455">
        <v>454</v>
      </c>
      <c r="B455" t="s">
        <v>10</v>
      </c>
      <c r="C455" t="s">
        <v>47</v>
      </c>
      <c r="D455" t="s">
        <v>27</v>
      </c>
      <c r="E455" t="s">
        <v>55</v>
      </c>
      <c r="F455" t="s">
        <v>32</v>
      </c>
      <c r="G455">
        <v>295</v>
      </c>
      <c r="H455" t="s">
        <v>53</v>
      </c>
      <c r="I455" t="s">
        <v>41</v>
      </c>
      <c r="J455" t="s">
        <v>34</v>
      </c>
    </row>
    <row r="456" spans="1:10" x14ac:dyDescent="0.35">
      <c r="A456">
        <v>455</v>
      </c>
      <c r="B456" t="s">
        <v>58</v>
      </c>
      <c r="C456" t="s">
        <v>26</v>
      </c>
      <c r="D456" t="s">
        <v>27</v>
      </c>
      <c r="E456" t="s">
        <v>31</v>
      </c>
      <c r="F456" t="s">
        <v>32</v>
      </c>
      <c r="G456">
        <v>113</v>
      </c>
      <c r="H456" t="s">
        <v>33</v>
      </c>
      <c r="I456" t="s">
        <v>16</v>
      </c>
      <c r="J456" t="s">
        <v>54</v>
      </c>
    </row>
    <row r="457" spans="1:10" x14ac:dyDescent="0.35">
      <c r="A457">
        <v>456</v>
      </c>
      <c r="B457" t="s">
        <v>46</v>
      </c>
      <c r="C457" t="s">
        <v>45</v>
      </c>
      <c r="D457" t="s">
        <v>12</v>
      </c>
      <c r="E457" t="s">
        <v>40</v>
      </c>
      <c r="F457" t="s">
        <v>14</v>
      </c>
      <c r="G457">
        <v>281</v>
      </c>
      <c r="H457" t="s">
        <v>23</v>
      </c>
      <c r="I457" t="s">
        <v>24</v>
      </c>
      <c r="J457" t="s">
        <v>17</v>
      </c>
    </row>
    <row r="458" spans="1:10" x14ac:dyDescent="0.35">
      <c r="A458">
        <v>457</v>
      </c>
      <c r="B458" t="s">
        <v>46</v>
      </c>
      <c r="C458" t="s">
        <v>30</v>
      </c>
      <c r="D458" t="s">
        <v>27</v>
      </c>
      <c r="E458" t="s">
        <v>31</v>
      </c>
      <c r="F458" t="s">
        <v>14</v>
      </c>
      <c r="G458">
        <v>127</v>
      </c>
      <c r="H458" t="s">
        <v>33</v>
      </c>
      <c r="I458" t="s">
        <v>24</v>
      </c>
      <c r="J458" t="s">
        <v>43</v>
      </c>
    </row>
    <row r="459" spans="1:10" x14ac:dyDescent="0.35">
      <c r="A459">
        <v>458</v>
      </c>
      <c r="B459" t="s">
        <v>46</v>
      </c>
      <c r="C459" t="s">
        <v>30</v>
      </c>
      <c r="D459" t="s">
        <v>51</v>
      </c>
      <c r="E459" t="s">
        <v>59</v>
      </c>
      <c r="F459" t="s">
        <v>22</v>
      </c>
      <c r="G459">
        <v>199</v>
      </c>
      <c r="H459" t="s">
        <v>15</v>
      </c>
      <c r="I459" t="s">
        <v>41</v>
      </c>
      <c r="J459" t="s">
        <v>43</v>
      </c>
    </row>
    <row r="460" spans="1:10" x14ac:dyDescent="0.35">
      <c r="A460">
        <v>459</v>
      </c>
      <c r="B460" t="s">
        <v>58</v>
      </c>
      <c r="C460" t="s">
        <v>45</v>
      </c>
      <c r="D460" t="s">
        <v>51</v>
      </c>
      <c r="E460" t="s">
        <v>13</v>
      </c>
      <c r="F460" t="s">
        <v>22</v>
      </c>
      <c r="G460">
        <v>128</v>
      </c>
      <c r="H460" t="s">
        <v>33</v>
      </c>
      <c r="I460" t="s">
        <v>24</v>
      </c>
      <c r="J460" t="s">
        <v>56</v>
      </c>
    </row>
    <row r="461" spans="1:10" x14ac:dyDescent="0.35">
      <c r="A461">
        <v>460</v>
      </c>
      <c r="B461" t="s">
        <v>44</v>
      </c>
      <c r="C461" t="s">
        <v>19</v>
      </c>
      <c r="D461" t="s">
        <v>51</v>
      </c>
      <c r="E461" t="s">
        <v>60</v>
      </c>
      <c r="F461" t="s">
        <v>22</v>
      </c>
      <c r="G461">
        <v>60</v>
      </c>
      <c r="H461" t="s">
        <v>33</v>
      </c>
      <c r="I461" t="s">
        <v>41</v>
      </c>
      <c r="J461" t="s">
        <v>39</v>
      </c>
    </row>
    <row r="462" spans="1:10" x14ac:dyDescent="0.35">
      <c r="A462">
        <v>461</v>
      </c>
      <c r="B462" t="s">
        <v>58</v>
      </c>
      <c r="C462" t="s">
        <v>30</v>
      </c>
      <c r="D462" t="s">
        <v>51</v>
      </c>
      <c r="E462" t="s">
        <v>59</v>
      </c>
      <c r="F462" t="s">
        <v>22</v>
      </c>
      <c r="G462">
        <v>151</v>
      </c>
      <c r="H462" t="s">
        <v>23</v>
      </c>
      <c r="I462" t="s">
        <v>24</v>
      </c>
      <c r="J462" t="s">
        <v>42</v>
      </c>
    </row>
    <row r="463" spans="1:10" x14ac:dyDescent="0.35">
      <c r="A463">
        <v>462</v>
      </c>
      <c r="B463" t="s">
        <v>58</v>
      </c>
      <c r="C463" t="s">
        <v>30</v>
      </c>
      <c r="D463" t="s">
        <v>51</v>
      </c>
      <c r="E463" t="s">
        <v>60</v>
      </c>
      <c r="F463" t="s">
        <v>14</v>
      </c>
      <c r="G463">
        <v>106</v>
      </c>
      <c r="H463" t="s">
        <v>15</v>
      </c>
      <c r="I463" t="s">
        <v>16</v>
      </c>
      <c r="J463" t="s">
        <v>17</v>
      </c>
    </row>
    <row r="464" spans="1:10" x14ac:dyDescent="0.35">
      <c r="A464">
        <v>463</v>
      </c>
      <c r="B464" t="s">
        <v>44</v>
      </c>
      <c r="C464" t="s">
        <v>19</v>
      </c>
      <c r="D464" t="s">
        <v>51</v>
      </c>
      <c r="E464" t="s">
        <v>60</v>
      </c>
      <c r="F464" t="s">
        <v>22</v>
      </c>
      <c r="G464">
        <v>123</v>
      </c>
      <c r="H464" t="s">
        <v>38</v>
      </c>
      <c r="I464" t="s">
        <v>24</v>
      </c>
      <c r="J464" t="s">
        <v>43</v>
      </c>
    </row>
    <row r="465" spans="1:10" x14ac:dyDescent="0.35">
      <c r="A465">
        <v>464</v>
      </c>
      <c r="B465" t="s">
        <v>46</v>
      </c>
      <c r="C465" t="s">
        <v>11</v>
      </c>
      <c r="D465" t="s">
        <v>51</v>
      </c>
      <c r="E465" t="s">
        <v>28</v>
      </c>
      <c r="F465" t="s">
        <v>22</v>
      </c>
      <c r="G465">
        <v>216</v>
      </c>
      <c r="H465" t="s">
        <v>53</v>
      </c>
      <c r="I465" t="s">
        <v>16</v>
      </c>
      <c r="J465" t="s">
        <v>25</v>
      </c>
    </row>
    <row r="466" spans="1:10" x14ac:dyDescent="0.35">
      <c r="A466">
        <v>465</v>
      </c>
      <c r="B466" t="s">
        <v>46</v>
      </c>
      <c r="C466" t="s">
        <v>11</v>
      </c>
      <c r="D466" t="s">
        <v>12</v>
      </c>
      <c r="E466" t="s">
        <v>55</v>
      </c>
      <c r="F466" t="s">
        <v>14</v>
      </c>
      <c r="G466">
        <v>298</v>
      </c>
      <c r="H466" t="s">
        <v>38</v>
      </c>
      <c r="I466" t="s">
        <v>16</v>
      </c>
      <c r="J466" t="s">
        <v>42</v>
      </c>
    </row>
    <row r="467" spans="1:10" x14ac:dyDescent="0.35">
      <c r="A467">
        <v>466</v>
      </c>
      <c r="B467" t="s">
        <v>10</v>
      </c>
      <c r="C467" t="s">
        <v>19</v>
      </c>
      <c r="D467" t="s">
        <v>36</v>
      </c>
      <c r="E467" t="s">
        <v>55</v>
      </c>
      <c r="F467" t="s">
        <v>14</v>
      </c>
      <c r="G467">
        <v>220</v>
      </c>
      <c r="H467" t="s">
        <v>15</v>
      </c>
      <c r="I467" t="s">
        <v>24</v>
      </c>
      <c r="J467" t="s">
        <v>54</v>
      </c>
    </row>
    <row r="468" spans="1:10" x14ac:dyDescent="0.35">
      <c r="A468">
        <v>467</v>
      </c>
      <c r="B468" t="s">
        <v>10</v>
      </c>
      <c r="C468" t="s">
        <v>26</v>
      </c>
      <c r="D468" t="s">
        <v>36</v>
      </c>
      <c r="E468" t="s">
        <v>40</v>
      </c>
      <c r="F468" t="s">
        <v>32</v>
      </c>
      <c r="G468">
        <v>42</v>
      </c>
      <c r="H468" t="s">
        <v>29</v>
      </c>
      <c r="I468" t="s">
        <v>41</v>
      </c>
      <c r="J468" t="s">
        <v>54</v>
      </c>
    </row>
    <row r="469" spans="1:10" x14ac:dyDescent="0.35">
      <c r="A469">
        <v>468</v>
      </c>
      <c r="B469" t="s">
        <v>10</v>
      </c>
      <c r="C469" t="s">
        <v>47</v>
      </c>
      <c r="D469" t="s">
        <v>20</v>
      </c>
      <c r="E469" t="s">
        <v>40</v>
      </c>
      <c r="F469" t="s">
        <v>22</v>
      </c>
      <c r="G469">
        <v>29</v>
      </c>
      <c r="H469" t="s">
        <v>29</v>
      </c>
      <c r="I469" t="s">
        <v>41</v>
      </c>
      <c r="J469" t="s">
        <v>17</v>
      </c>
    </row>
    <row r="470" spans="1:10" x14ac:dyDescent="0.35">
      <c r="A470">
        <v>469</v>
      </c>
      <c r="B470" t="s">
        <v>58</v>
      </c>
      <c r="C470" t="s">
        <v>19</v>
      </c>
      <c r="D470" t="s">
        <v>36</v>
      </c>
      <c r="E470" t="s">
        <v>31</v>
      </c>
      <c r="F470" t="s">
        <v>14</v>
      </c>
      <c r="G470">
        <v>68</v>
      </c>
      <c r="H470" t="s">
        <v>29</v>
      </c>
      <c r="I470" t="s">
        <v>24</v>
      </c>
      <c r="J470" t="s">
        <v>52</v>
      </c>
    </row>
    <row r="471" spans="1:10" x14ac:dyDescent="0.35">
      <c r="A471">
        <v>470</v>
      </c>
      <c r="B471" t="s">
        <v>35</v>
      </c>
      <c r="C471" t="s">
        <v>26</v>
      </c>
      <c r="D471" t="s">
        <v>51</v>
      </c>
      <c r="E471" t="s">
        <v>59</v>
      </c>
      <c r="F471" t="s">
        <v>22</v>
      </c>
      <c r="G471">
        <v>160</v>
      </c>
      <c r="H471" t="s">
        <v>53</v>
      </c>
      <c r="I471" t="s">
        <v>16</v>
      </c>
      <c r="J471" t="s">
        <v>57</v>
      </c>
    </row>
    <row r="472" spans="1:10" x14ac:dyDescent="0.35">
      <c r="A472">
        <v>471</v>
      </c>
      <c r="B472" t="s">
        <v>58</v>
      </c>
      <c r="C472" t="s">
        <v>45</v>
      </c>
      <c r="D472" t="s">
        <v>12</v>
      </c>
      <c r="E472" t="s">
        <v>28</v>
      </c>
      <c r="F472" t="s">
        <v>14</v>
      </c>
      <c r="G472">
        <v>160</v>
      </c>
      <c r="H472" t="s">
        <v>29</v>
      </c>
      <c r="I472" t="s">
        <v>41</v>
      </c>
      <c r="J472" t="s">
        <v>43</v>
      </c>
    </row>
    <row r="473" spans="1:10" x14ac:dyDescent="0.35">
      <c r="A473">
        <v>472</v>
      </c>
      <c r="B473" t="s">
        <v>46</v>
      </c>
      <c r="C473" t="s">
        <v>19</v>
      </c>
      <c r="D473" t="s">
        <v>36</v>
      </c>
      <c r="E473" t="s">
        <v>37</v>
      </c>
      <c r="F473" t="s">
        <v>22</v>
      </c>
      <c r="G473">
        <v>243</v>
      </c>
      <c r="H473" t="s">
        <v>23</v>
      </c>
      <c r="I473" t="s">
        <v>16</v>
      </c>
      <c r="J473" t="s">
        <v>52</v>
      </c>
    </row>
    <row r="474" spans="1:10" x14ac:dyDescent="0.35">
      <c r="A474">
        <v>473</v>
      </c>
      <c r="B474" t="s">
        <v>10</v>
      </c>
      <c r="C474" t="s">
        <v>45</v>
      </c>
      <c r="D474" t="s">
        <v>20</v>
      </c>
      <c r="E474" t="s">
        <v>21</v>
      </c>
      <c r="F474" t="s">
        <v>14</v>
      </c>
      <c r="G474">
        <v>287</v>
      </c>
      <c r="H474" t="s">
        <v>33</v>
      </c>
      <c r="I474" t="s">
        <v>24</v>
      </c>
      <c r="J474" t="s">
        <v>34</v>
      </c>
    </row>
    <row r="475" spans="1:10" x14ac:dyDescent="0.35">
      <c r="A475">
        <v>474</v>
      </c>
      <c r="B475" t="s">
        <v>35</v>
      </c>
      <c r="C475" t="s">
        <v>11</v>
      </c>
      <c r="D475" t="s">
        <v>51</v>
      </c>
      <c r="E475" t="s">
        <v>37</v>
      </c>
      <c r="F475" t="s">
        <v>22</v>
      </c>
      <c r="G475">
        <v>297</v>
      </c>
      <c r="H475" t="s">
        <v>15</v>
      </c>
      <c r="I475" t="s">
        <v>41</v>
      </c>
      <c r="J475" t="s">
        <v>43</v>
      </c>
    </row>
    <row r="476" spans="1:10" x14ac:dyDescent="0.35">
      <c r="A476">
        <v>475</v>
      </c>
      <c r="B476" t="s">
        <v>18</v>
      </c>
      <c r="C476" t="s">
        <v>47</v>
      </c>
      <c r="D476" t="s">
        <v>51</v>
      </c>
      <c r="E476" t="s">
        <v>37</v>
      </c>
      <c r="F476" t="s">
        <v>32</v>
      </c>
      <c r="G476">
        <v>93</v>
      </c>
      <c r="H476" t="s">
        <v>23</v>
      </c>
      <c r="I476" t="s">
        <v>41</v>
      </c>
      <c r="J476" t="s">
        <v>54</v>
      </c>
    </row>
    <row r="477" spans="1:10" x14ac:dyDescent="0.35">
      <c r="A477">
        <v>476</v>
      </c>
      <c r="B477" t="s">
        <v>44</v>
      </c>
      <c r="C477" t="s">
        <v>11</v>
      </c>
      <c r="D477" t="s">
        <v>51</v>
      </c>
      <c r="E477" t="s">
        <v>31</v>
      </c>
      <c r="F477" t="s">
        <v>22</v>
      </c>
      <c r="G477">
        <v>126</v>
      </c>
      <c r="H477" t="s">
        <v>53</v>
      </c>
      <c r="I477" t="s">
        <v>24</v>
      </c>
      <c r="J477" t="s">
        <v>34</v>
      </c>
    </row>
    <row r="478" spans="1:10" x14ac:dyDescent="0.35">
      <c r="A478">
        <v>477</v>
      </c>
      <c r="B478" t="s">
        <v>44</v>
      </c>
      <c r="C478" t="s">
        <v>19</v>
      </c>
      <c r="D478" t="s">
        <v>20</v>
      </c>
      <c r="E478" t="s">
        <v>31</v>
      </c>
      <c r="F478" t="s">
        <v>32</v>
      </c>
      <c r="G478">
        <v>140</v>
      </c>
      <c r="H478" t="s">
        <v>53</v>
      </c>
      <c r="I478" t="s">
        <v>16</v>
      </c>
      <c r="J478" t="s">
        <v>49</v>
      </c>
    </row>
    <row r="479" spans="1:10" x14ac:dyDescent="0.35">
      <c r="A479">
        <v>478</v>
      </c>
      <c r="B479" t="s">
        <v>10</v>
      </c>
      <c r="C479" t="s">
        <v>45</v>
      </c>
      <c r="D479" t="s">
        <v>27</v>
      </c>
      <c r="E479" t="s">
        <v>31</v>
      </c>
      <c r="F479" t="s">
        <v>22</v>
      </c>
      <c r="G479">
        <v>84</v>
      </c>
      <c r="H479" t="s">
        <v>38</v>
      </c>
      <c r="I479" t="s">
        <v>24</v>
      </c>
      <c r="J479" t="s">
        <v>25</v>
      </c>
    </row>
    <row r="480" spans="1:10" x14ac:dyDescent="0.35">
      <c r="A480">
        <v>479</v>
      </c>
      <c r="B480" t="s">
        <v>44</v>
      </c>
      <c r="C480" t="s">
        <v>30</v>
      </c>
      <c r="D480" t="s">
        <v>27</v>
      </c>
      <c r="E480" t="s">
        <v>28</v>
      </c>
      <c r="F480" t="s">
        <v>14</v>
      </c>
      <c r="G480">
        <v>111</v>
      </c>
      <c r="H480" t="s">
        <v>53</v>
      </c>
      <c r="I480" t="s">
        <v>16</v>
      </c>
      <c r="J480" t="s">
        <v>52</v>
      </c>
    </row>
    <row r="481" spans="1:10" x14ac:dyDescent="0.35">
      <c r="A481">
        <v>480</v>
      </c>
      <c r="B481" t="s">
        <v>58</v>
      </c>
      <c r="C481" t="s">
        <v>19</v>
      </c>
      <c r="D481" t="s">
        <v>51</v>
      </c>
      <c r="E481" t="s">
        <v>28</v>
      </c>
      <c r="F481" t="s">
        <v>32</v>
      </c>
      <c r="G481">
        <v>224</v>
      </c>
      <c r="H481" t="s">
        <v>15</v>
      </c>
      <c r="I481" t="s">
        <v>24</v>
      </c>
      <c r="J481" t="s">
        <v>39</v>
      </c>
    </row>
    <row r="482" spans="1:10" x14ac:dyDescent="0.35">
      <c r="A482">
        <v>481</v>
      </c>
      <c r="B482" t="s">
        <v>58</v>
      </c>
      <c r="C482" t="s">
        <v>19</v>
      </c>
      <c r="D482" t="s">
        <v>20</v>
      </c>
      <c r="E482" t="s">
        <v>40</v>
      </c>
      <c r="F482" t="s">
        <v>14</v>
      </c>
      <c r="G482">
        <v>128</v>
      </c>
      <c r="H482" t="s">
        <v>38</v>
      </c>
      <c r="I482" t="s">
        <v>24</v>
      </c>
      <c r="J482" t="s">
        <v>57</v>
      </c>
    </row>
    <row r="483" spans="1:10" x14ac:dyDescent="0.35">
      <c r="A483">
        <v>482</v>
      </c>
      <c r="B483" t="s">
        <v>18</v>
      </c>
      <c r="C483" t="s">
        <v>19</v>
      </c>
      <c r="D483" t="s">
        <v>20</v>
      </c>
      <c r="E483" t="s">
        <v>37</v>
      </c>
      <c r="F483" t="s">
        <v>14</v>
      </c>
      <c r="G483">
        <v>177</v>
      </c>
      <c r="H483" t="s">
        <v>33</v>
      </c>
      <c r="I483" t="s">
        <v>24</v>
      </c>
      <c r="J483" t="s">
        <v>39</v>
      </c>
    </row>
    <row r="484" spans="1:10" x14ac:dyDescent="0.35">
      <c r="A484">
        <v>483</v>
      </c>
      <c r="B484" t="s">
        <v>18</v>
      </c>
      <c r="C484" t="s">
        <v>30</v>
      </c>
      <c r="D484" t="s">
        <v>27</v>
      </c>
      <c r="E484" t="s">
        <v>37</v>
      </c>
      <c r="F484" t="s">
        <v>22</v>
      </c>
      <c r="G484">
        <v>136</v>
      </c>
      <c r="H484" t="s">
        <v>38</v>
      </c>
      <c r="I484" t="s">
        <v>16</v>
      </c>
      <c r="J484" t="s">
        <v>42</v>
      </c>
    </row>
    <row r="485" spans="1:10" x14ac:dyDescent="0.35">
      <c r="A485">
        <v>484</v>
      </c>
      <c r="B485" t="s">
        <v>44</v>
      </c>
      <c r="C485" t="s">
        <v>26</v>
      </c>
      <c r="D485" t="s">
        <v>12</v>
      </c>
      <c r="E485" t="s">
        <v>37</v>
      </c>
      <c r="F485" t="s">
        <v>14</v>
      </c>
      <c r="G485">
        <v>262</v>
      </c>
      <c r="H485" t="s">
        <v>29</v>
      </c>
      <c r="I485" t="s">
        <v>16</v>
      </c>
      <c r="J485" t="s">
        <v>52</v>
      </c>
    </row>
    <row r="486" spans="1:10" x14ac:dyDescent="0.35">
      <c r="A486">
        <v>485</v>
      </c>
      <c r="B486" t="s">
        <v>46</v>
      </c>
      <c r="C486" t="s">
        <v>47</v>
      </c>
      <c r="D486" t="s">
        <v>36</v>
      </c>
      <c r="E486" t="s">
        <v>55</v>
      </c>
      <c r="F486" t="s">
        <v>14</v>
      </c>
      <c r="G486">
        <v>196</v>
      </c>
      <c r="H486" t="s">
        <v>23</v>
      </c>
      <c r="I486" t="s">
        <v>24</v>
      </c>
      <c r="J486" t="s">
        <v>39</v>
      </c>
    </row>
    <row r="487" spans="1:10" x14ac:dyDescent="0.35">
      <c r="A487">
        <v>486</v>
      </c>
      <c r="B487" t="s">
        <v>44</v>
      </c>
      <c r="C487" t="s">
        <v>19</v>
      </c>
      <c r="D487" t="s">
        <v>12</v>
      </c>
      <c r="E487" t="s">
        <v>40</v>
      </c>
      <c r="F487" t="s">
        <v>32</v>
      </c>
      <c r="G487">
        <v>80</v>
      </c>
      <c r="H487" t="s">
        <v>15</v>
      </c>
      <c r="I487" t="s">
        <v>24</v>
      </c>
      <c r="J487" t="s">
        <v>42</v>
      </c>
    </row>
    <row r="488" spans="1:10" x14ac:dyDescent="0.35">
      <c r="A488">
        <v>487</v>
      </c>
      <c r="B488" t="s">
        <v>44</v>
      </c>
      <c r="C488" t="s">
        <v>47</v>
      </c>
      <c r="D488" t="s">
        <v>36</v>
      </c>
      <c r="E488" t="s">
        <v>13</v>
      </c>
      <c r="F488" t="s">
        <v>32</v>
      </c>
      <c r="G488">
        <v>42</v>
      </c>
      <c r="H488" t="s">
        <v>33</v>
      </c>
      <c r="I488" t="s">
        <v>16</v>
      </c>
      <c r="J488" t="s">
        <v>56</v>
      </c>
    </row>
    <row r="489" spans="1:10" x14ac:dyDescent="0.35">
      <c r="A489">
        <v>488</v>
      </c>
      <c r="B489" t="s">
        <v>10</v>
      </c>
      <c r="C489" t="s">
        <v>26</v>
      </c>
      <c r="D489" t="s">
        <v>36</v>
      </c>
      <c r="E489" t="s">
        <v>55</v>
      </c>
      <c r="F489" t="s">
        <v>22</v>
      </c>
      <c r="G489">
        <v>197</v>
      </c>
      <c r="H489" t="s">
        <v>15</v>
      </c>
      <c r="I489" t="s">
        <v>16</v>
      </c>
      <c r="J489" t="s">
        <v>49</v>
      </c>
    </row>
    <row r="490" spans="1:10" x14ac:dyDescent="0.35">
      <c r="A490">
        <v>489</v>
      </c>
      <c r="B490" t="s">
        <v>44</v>
      </c>
      <c r="C490" t="s">
        <v>26</v>
      </c>
      <c r="D490" t="s">
        <v>36</v>
      </c>
      <c r="E490" t="s">
        <v>13</v>
      </c>
      <c r="F490" t="s">
        <v>14</v>
      </c>
      <c r="G490">
        <v>35</v>
      </c>
      <c r="H490" t="s">
        <v>29</v>
      </c>
      <c r="I490" t="s">
        <v>24</v>
      </c>
      <c r="J490" t="s">
        <v>17</v>
      </c>
    </row>
    <row r="491" spans="1:10" x14ac:dyDescent="0.35">
      <c r="A491">
        <v>490</v>
      </c>
      <c r="B491" t="s">
        <v>44</v>
      </c>
      <c r="C491" t="s">
        <v>19</v>
      </c>
      <c r="D491" t="s">
        <v>20</v>
      </c>
      <c r="E491" t="s">
        <v>31</v>
      </c>
      <c r="F491" t="s">
        <v>32</v>
      </c>
      <c r="G491">
        <v>274</v>
      </c>
      <c r="H491" t="s">
        <v>33</v>
      </c>
      <c r="I491" t="s">
        <v>16</v>
      </c>
      <c r="J491" t="s">
        <v>54</v>
      </c>
    </row>
    <row r="492" spans="1:10" x14ac:dyDescent="0.35">
      <c r="A492">
        <v>491</v>
      </c>
      <c r="B492" t="s">
        <v>18</v>
      </c>
      <c r="C492" t="s">
        <v>45</v>
      </c>
      <c r="D492" t="s">
        <v>36</v>
      </c>
      <c r="E492" t="s">
        <v>21</v>
      </c>
      <c r="F492" t="s">
        <v>32</v>
      </c>
      <c r="G492">
        <v>69</v>
      </c>
      <c r="H492" t="s">
        <v>53</v>
      </c>
      <c r="I492" t="s">
        <v>16</v>
      </c>
      <c r="J492" t="s">
        <v>49</v>
      </c>
    </row>
    <row r="493" spans="1:10" x14ac:dyDescent="0.35">
      <c r="A493">
        <v>492</v>
      </c>
      <c r="B493" t="s">
        <v>46</v>
      </c>
      <c r="C493" t="s">
        <v>45</v>
      </c>
      <c r="D493" t="s">
        <v>12</v>
      </c>
      <c r="E493" t="s">
        <v>13</v>
      </c>
      <c r="F493" t="s">
        <v>32</v>
      </c>
      <c r="G493">
        <v>128</v>
      </c>
      <c r="H493" t="s">
        <v>33</v>
      </c>
      <c r="I493" t="s">
        <v>41</v>
      </c>
      <c r="J493" t="s">
        <v>17</v>
      </c>
    </row>
    <row r="494" spans="1:10" x14ac:dyDescent="0.35">
      <c r="A494">
        <v>493</v>
      </c>
      <c r="B494" t="s">
        <v>10</v>
      </c>
      <c r="C494" t="s">
        <v>11</v>
      </c>
      <c r="D494" t="s">
        <v>12</v>
      </c>
      <c r="E494" t="s">
        <v>60</v>
      </c>
      <c r="F494" t="s">
        <v>22</v>
      </c>
      <c r="G494">
        <v>21</v>
      </c>
      <c r="H494" t="s">
        <v>33</v>
      </c>
      <c r="I494" t="s">
        <v>41</v>
      </c>
      <c r="J494" t="s">
        <v>39</v>
      </c>
    </row>
    <row r="495" spans="1:10" x14ac:dyDescent="0.35">
      <c r="A495">
        <v>494</v>
      </c>
      <c r="B495" t="s">
        <v>35</v>
      </c>
      <c r="C495" t="s">
        <v>11</v>
      </c>
      <c r="D495" t="s">
        <v>20</v>
      </c>
      <c r="E495" t="s">
        <v>28</v>
      </c>
      <c r="F495" t="s">
        <v>14</v>
      </c>
      <c r="G495">
        <v>89</v>
      </c>
      <c r="H495" t="s">
        <v>38</v>
      </c>
      <c r="I495" t="s">
        <v>16</v>
      </c>
      <c r="J495" t="s">
        <v>54</v>
      </c>
    </row>
    <row r="496" spans="1:10" x14ac:dyDescent="0.35">
      <c r="A496">
        <v>495</v>
      </c>
      <c r="B496" t="s">
        <v>10</v>
      </c>
      <c r="C496" t="s">
        <v>47</v>
      </c>
      <c r="D496" t="s">
        <v>36</v>
      </c>
      <c r="E496" t="s">
        <v>59</v>
      </c>
      <c r="F496" t="s">
        <v>22</v>
      </c>
      <c r="G496">
        <v>75</v>
      </c>
      <c r="H496" t="s">
        <v>33</v>
      </c>
      <c r="I496" t="s">
        <v>41</v>
      </c>
      <c r="J496" t="s">
        <v>25</v>
      </c>
    </row>
    <row r="497" spans="1:10" x14ac:dyDescent="0.35">
      <c r="A497">
        <v>496</v>
      </c>
      <c r="B497" t="s">
        <v>44</v>
      </c>
      <c r="C497" t="s">
        <v>47</v>
      </c>
      <c r="D497" t="s">
        <v>27</v>
      </c>
      <c r="E497" t="s">
        <v>55</v>
      </c>
      <c r="F497" t="s">
        <v>22</v>
      </c>
      <c r="G497">
        <v>157</v>
      </c>
      <c r="H497" t="s">
        <v>29</v>
      </c>
      <c r="I497" t="s">
        <v>16</v>
      </c>
      <c r="J497" t="s">
        <v>52</v>
      </c>
    </row>
    <row r="498" spans="1:10" x14ac:dyDescent="0.35">
      <c r="A498">
        <v>497</v>
      </c>
      <c r="B498" t="s">
        <v>46</v>
      </c>
      <c r="C498" t="s">
        <v>30</v>
      </c>
      <c r="D498" t="s">
        <v>36</v>
      </c>
      <c r="E498" t="s">
        <v>60</v>
      </c>
      <c r="F498" t="s">
        <v>14</v>
      </c>
      <c r="G498">
        <v>89</v>
      </c>
      <c r="H498" t="s">
        <v>29</v>
      </c>
      <c r="I498" t="s">
        <v>16</v>
      </c>
      <c r="J498" t="s">
        <v>25</v>
      </c>
    </row>
    <row r="499" spans="1:10" x14ac:dyDescent="0.35">
      <c r="A499">
        <v>498</v>
      </c>
      <c r="B499" t="s">
        <v>44</v>
      </c>
      <c r="C499" t="s">
        <v>47</v>
      </c>
      <c r="D499" t="s">
        <v>27</v>
      </c>
      <c r="E499" t="s">
        <v>28</v>
      </c>
      <c r="F499" t="s">
        <v>32</v>
      </c>
      <c r="G499">
        <v>84</v>
      </c>
      <c r="H499" t="s">
        <v>15</v>
      </c>
      <c r="I499" t="s">
        <v>41</v>
      </c>
      <c r="J499" t="s">
        <v>56</v>
      </c>
    </row>
    <row r="500" spans="1:10" x14ac:dyDescent="0.35">
      <c r="A500">
        <v>499</v>
      </c>
      <c r="B500" t="s">
        <v>10</v>
      </c>
      <c r="C500" t="s">
        <v>45</v>
      </c>
      <c r="D500" t="s">
        <v>51</v>
      </c>
      <c r="E500" t="s">
        <v>13</v>
      </c>
      <c r="F500" t="s">
        <v>22</v>
      </c>
      <c r="G500">
        <v>142</v>
      </c>
      <c r="H500" t="s">
        <v>15</v>
      </c>
      <c r="I500" t="s">
        <v>24</v>
      </c>
      <c r="J500" t="s">
        <v>50</v>
      </c>
    </row>
    <row r="501" spans="1:10" x14ac:dyDescent="0.35">
      <c r="A501">
        <v>500</v>
      </c>
      <c r="B501" t="s">
        <v>58</v>
      </c>
      <c r="C501" t="s">
        <v>47</v>
      </c>
      <c r="D501" t="s">
        <v>36</v>
      </c>
      <c r="E501" t="s">
        <v>28</v>
      </c>
      <c r="F501" t="s">
        <v>14</v>
      </c>
      <c r="G501">
        <v>28</v>
      </c>
      <c r="H501" t="s">
        <v>38</v>
      </c>
      <c r="I501" t="s">
        <v>41</v>
      </c>
      <c r="J501" t="s">
        <v>50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D3AC-AAB9-487B-A0D2-549611C16F16}">
  <dimension ref="C29:U35"/>
  <sheetViews>
    <sheetView showGridLines="0" showRowColHeaders="0" tabSelected="1" zoomScale="97" workbookViewId="0">
      <selection activeCell="O12" sqref="O12"/>
    </sheetView>
  </sheetViews>
  <sheetFormatPr defaultRowHeight="14.5" x14ac:dyDescent="0.35"/>
  <cols>
    <col min="1" max="3" width="8.7265625" style="3"/>
    <col min="4" max="4" width="16.08984375" style="3" bestFit="1" customWidth="1"/>
    <col min="5" max="16384" width="8.7265625" style="3"/>
  </cols>
  <sheetData>
    <row r="29" spans="3:21" x14ac:dyDescent="0.35">
      <c r="D29" s="4" t="s">
        <v>70</v>
      </c>
      <c r="F29" s="4" t="s">
        <v>2</v>
      </c>
      <c r="H29" s="4" t="s">
        <v>3</v>
      </c>
      <c r="J29" s="4" t="s">
        <v>6</v>
      </c>
      <c r="K29" s="4"/>
    </row>
    <row r="30" spans="3:21" x14ac:dyDescent="0.35">
      <c r="D30" s="4" t="str" cm="1">
        <f t="array" ref="D30:D34">INDEX(_xlfn._xlws.FILTER(JobsData[Job_Title],JobsData[Applicants]&gt;100),_xlfn.SEQUENCE(5))</f>
        <v>HR Manager</v>
      </c>
      <c r="F30" s="4" t="str" cm="1">
        <f t="array" ref="F30:F34">INDEX(_xlfn._xlws.FILTER(JobsData[Company],JobsData[Applicants]&gt;100),_xlfn.SEQUENCE(5))</f>
        <v>Capgemini</v>
      </c>
      <c r="H30" s="4" t="str" cm="1">
        <f t="array" ref="H30:H34">INDEX(_xlfn._xlws.FILTER(JobsData[Location],JobsData[Applicants]&gt;100),_xlfn.SEQUENCE(5))</f>
        <v>Pune</v>
      </c>
      <c r="J30" s="4" cm="1">
        <f t="array" ref="J30:J34">INDEX(_xlfn._xlws.FILTER(JobsData[Applicants],JobsData[Applicants]&gt;100),_xlfn.SEQUENCE(5))</f>
        <v>121</v>
      </c>
      <c r="K30" s="4"/>
      <c r="R30" s="4" t="s">
        <v>70</v>
      </c>
      <c r="S30" s="4" t="s">
        <v>2</v>
      </c>
      <c r="T30" s="4" t="s">
        <v>3</v>
      </c>
      <c r="U30" s="4" t="s">
        <v>6</v>
      </c>
    </row>
    <row r="31" spans="3:21" x14ac:dyDescent="0.35">
      <c r="C31" s="4"/>
      <c r="D31" s="4" t="str">
        <v>Software Engineer</v>
      </c>
      <c r="E31" s="4"/>
      <c r="F31" s="4" t="str">
        <v>HCL</v>
      </c>
      <c r="G31" s="4"/>
      <c r="H31" s="4" t="str">
        <v>Delhi</v>
      </c>
      <c r="J31" s="4">
        <v>178</v>
      </c>
      <c r="K31" s="4"/>
      <c r="R31" s="4" t="str" cm="1">
        <f t="array" ref="R31:R35">INDEX(_xlfn._xlws.FILTER(JobsData[Job_Title],JobsData[Applicants]&gt;100),_xlfn.SEQUENCE(5))</f>
        <v>HR Manager</v>
      </c>
      <c r="S31" s="4" t="str" cm="1">
        <f t="array" ref="S31:S35">INDEX(_xlfn._xlws.FILTER(JobsData[Company],JobsData[Applicants]&gt;100),_xlfn.SEQUENCE(5))</f>
        <v>Capgemini</v>
      </c>
      <c r="T31" s="4" t="str" cm="1">
        <f t="array" ref="T31:T35">INDEX(_xlfn._xlws.FILTER(JobsData[Location],JobsData[Applicants]&gt;100),_xlfn.SEQUENCE(5))</f>
        <v>Pune</v>
      </c>
      <c r="U31" s="4" cm="1">
        <f t="array" ref="U31:U35">INDEX(_xlfn._xlws.FILTER(JobsData[Applicants],JobsData[Applicants]&gt;100),_xlfn.SEQUENCE(5))</f>
        <v>121</v>
      </c>
    </row>
    <row r="32" spans="3:21" x14ac:dyDescent="0.35">
      <c r="C32" s="4"/>
      <c r="D32" s="4" t="str">
        <v>Software Engineer</v>
      </c>
      <c r="E32" s="4"/>
      <c r="F32" s="4" t="str">
        <v>Capgemini</v>
      </c>
      <c r="G32" s="4"/>
      <c r="H32" s="4" t="str">
        <v>Pune</v>
      </c>
      <c r="J32" s="4">
        <v>179</v>
      </c>
      <c r="K32" s="4"/>
      <c r="R32" s="4" t="str">
        <v>Software Engineer</v>
      </c>
      <c r="S32" s="4" t="str">
        <v>HCL</v>
      </c>
      <c r="T32" s="4" t="str">
        <v>Delhi</v>
      </c>
      <c r="U32" s="4">
        <v>178</v>
      </c>
    </row>
    <row r="33" spans="3:21" x14ac:dyDescent="0.35">
      <c r="C33" s="4"/>
      <c r="D33" s="4" t="str">
        <v>HR Manager</v>
      </c>
      <c r="E33" s="4"/>
      <c r="F33" s="4" t="str">
        <v>HCL</v>
      </c>
      <c r="G33" s="4"/>
      <c r="H33" s="4" t="str">
        <v>Bangalore</v>
      </c>
      <c r="J33" s="4">
        <v>297</v>
      </c>
      <c r="R33" s="4" t="str">
        <v>Software Engineer</v>
      </c>
      <c r="S33" s="4" t="str">
        <v>Capgemini</v>
      </c>
      <c r="T33" s="4" t="str">
        <v>Pune</v>
      </c>
      <c r="U33" s="4">
        <v>179</v>
      </c>
    </row>
    <row r="34" spans="3:21" x14ac:dyDescent="0.35">
      <c r="C34" s="4"/>
      <c r="D34" s="4" t="str">
        <v>Data Analyst</v>
      </c>
      <c r="E34" s="4"/>
      <c r="F34" s="4" t="str">
        <v>Infosys</v>
      </c>
      <c r="G34" s="4"/>
      <c r="H34" s="4" t="str">
        <v>Delhi</v>
      </c>
      <c r="J34" s="4">
        <v>211</v>
      </c>
      <c r="R34" s="4" t="str">
        <v>HR Manager</v>
      </c>
      <c r="S34" s="4" t="str">
        <v>HCL</v>
      </c>
      <c r="T34" s="4" t="str">
        <v>Bangalore</v>
      </c>
      <c r="U34" s="4">
        <v>297</v>
      </c>
    </row>
    <row r="35" spans="3:21" x14ac:dyDescent="0.35">
      <c r="R35" s="4" t="str">
        <v>Data Analyst</v>
      </c>
      <c r="S35" s="4" t="str">
        <v>Infosys</v>
      </c>
      <c r="T35" s="4" t="str">
        <v>Delhi</v>
      </c>
      <c r="U35" s="4">
        <v>211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C2E80-DA5E-4DD1-B624-4F37ADEDD624}">
  <dimension ref="B5:M20"/>
  <sheetViews>
    <sheetView topLeftCell="A4" workbookViewId="0">
      <selection activeCell="J12" sqref="J12"/>
    </sheetView>
  </sheetViews>
  <sheetFormatPr defaultRowHeight="14.5" x14ac:dyDescent="0.35"/>
  <cols>
    <col min="4" max="4" width="15.90625" bestFit="1" customWidth="1"/>
    <col min="7" max="7" width="14.26953125" bestFit="1" customWidth="1"/>
    <col min="9" max="9" width="12.36328125" bestFit="1" customWidth="1"/>
    <col min="10" max="10" width="14.26953125" bestFit="1" customWidth="1"/>
  </cols>
  <sheetData>
    <row r="5" spans="2:13" x14ac:dyDescent="0.35">
      <c r="B5">
        <f>COUNTA(JobsData[Job_ID])</f>
        <v>500</v>
      </c>
    </row>
    <row r="6" spans="2:13" x14ac:dyDescent="0.35">
      <c r="M6">
        <f>SUM(JobsData[Applicants])</f>
        <v>78762</v>
      </c>
    </row>
    <row r="7" spans="2:13" x14ac:dyDescent="0.35">
      <c r="M7">
        <f>COUNTIF(JobsData[Status],"selected")</f>
        <v>156</v>
      </c>
    </row>
    <row r="8" spans="2:13" x14ac:dyDescent="0.35">
      <c r="G8" t="s">
        <v>61</v>
      </c>
      <c r="M8">
        <f>COUNTIF(JobsData[Status],"Rejected")</f>
        <v>174</v>
      </c>
    </row>
    <row r="9" spans="2:13" x14ac:dyDescent="0.35">
      <c r="G9" t="s">
        <v>62</v>
      </c>
    </row>
    <row r="10" spans="2:13" x14ac:dyDescent="0.35">
      <c r="G10" t="s">
        <v>63</v>
      </c>
    </row>
    <row r="11" spans="2:13" x14ac:dyDescent="0.35">
      <c r="G11" t="s">
        <v>64</v>
      </c>
    </row>
    <row r="15" spans="2:13" x14ac:dyDescent="0.35">
      <c r="D15" t="s">
        <v>68</v>
      </c>
    </row>
    <row r="16" spans="2:13" x14ac:dyDescent="0.35">
      <c r="D16" s="5">
        <v>4926</v>
      </c>
      <c r="G16" t="s">
        <v>69</v>
      </c>
      <c r="I16" s="1" t="s">
        <v>65</v>
      </c>
      <c r="J16" t="s">
        <v>69</v>
      </c>
    </row>
    <row r="17" spans="7:10" x14ac:dyDescent="0.35">
      <c r="G17" s="5">
        <v>36</v>
      </c>
      <c r="I17" s="2" t="s">
        <v>24</v>
      </c>
      <c r="J17" s="5">
        <v>11</v>
      </c>
    </row>
    <row r="18" spans="7:10" x14ac:dyDescent="0.35">
      <c r="I18" s="2" t="s">
        <v>16</v>
      </c>
      <c r="J18" s="5">
        <v>15</v>
      </c>
    </row>
    <row r="19" spans="7:10" x14ac:dyDescent="0.35">
      <c r="I19" s="2" t="s">
        <v>41</v>
      </c>
      <c r="J19" s="5">
        <v>10</v>
      </c>
    </row>
    <row r="20" spans="7:10" x14ac:dyDescent="0.35">
      <c r="I20" s="2" t="s">
        <v>66</v>
      </c>
      <c r="J20" s="5">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B6636-B8C2-4F8A-B62C-006B21A5DA0F}">
  <dimension ref="B5:O29"/>
  <sheetViews>
    <sheetView topLeftCell="A29" workbookViewId="0">
      <selection activeCell="J23" sqref="J23"/>
    </sheetView>
  </sheetViews>
  <sheetFormatPr defaultRowHeight="14.5" x14ac:dyDescent="0.35"/>
  <cols>
    <col min="2" max="2" width="12.36328125" bestFit="1" customWidth="1"/>
    <col min="3" max="3" width="15.90625" bestFit="1" customWidth="1"/>
    <col min="14" max="14" width="12.36328125" bestFit="1" customWidth="1"/>
    <col min="15" max="15" width="14.26953125" bestFit="1" customWidth="1"/>
  </cols>
  <sheetData>
    <row r="5" spans="2:15" x14ac:dyDescent="0.35">
      <c r="N5" s="1" t="s">
        <v>65</v>
      </c>
      <c r="O5" t="s">
        <v>69</v>
      </c>
    </row>
    <row r="6" spans="2:15" x14ac:dyDescent="0.35">
      <c r="B6" s="1" t="s">
        <v>65</v>
      </c>
      <c r="C6" t="s">
        <v>67</v>
      </c>
      <c r="N6" s="2" t="s">
        <v>39</v>
      </c>
      <c r="O6" s="5">
        <v>4</v>
      </c>
    </row>
    <row r="7" spans="2:15" x14ac:dyDescent="0.35">
      <c r="B7" s="2" t="s">
        <v>36</v>
      </c>
      <c r="C7" s="5">
        <v>8448</v>
      </c>
      <c r="N7" s="2" t="s">
        <v>56</v>
      </c>
      <c r="O7" s="5">
        <v>2</v>
      </c>
    </row>
    <row r="8" spans="2:15" x14ac:dyDescent="0.35">
      <c r="B8" s="2" t="s">
        <v>66</v>
      </c>
      <c r="C8" s="5">
        <v>8448</v>
      </c>
      <c r="N8" s="2" t="s">
        <v>34</v>
      </c>
      <c r="O8" s="5">
        <v>3</v>
      </c>
    </row>
    <row r="9" spans="2:15" x14ac:dyDescent="0.35">
      <c r="N9" s="2" t="s">
        <v>50</v>
      </c>
      <c r="O9" s="5">
        <v>4</v>
      </c>
    </row>
    <row r="10" spans="2:15" x14ac:dyDescent="0.35">
      <c r="N10" s="2" t="s">
        <v>54</v>
      </c>
      <c r="O10" s="5">
        <v>4</v>
      </c>
    </row>
    <row r="11" spans="2:15" x14ac:dyDescent="0.35">
      <c r="N11" s="2" t="s">
        <v>57</v>
      </c>
      <c r="O11" s="5">
        <v>1</v>
      </c>
    </row>
    <row r="12" spans="2:15" x14ac:dyDescent="0.35">
      <c r="N12" s="2" t="s">
        <v>17</v>
      </c>
      <c r="O12" s="5">
        <v>2</v>
      </c>
    </row>
    <row r="13" spans="2:15" x14ac:dyDescent="0.35">
      <c r="N13" s="2" t="s">
        <v>42</v>
      </c>
      <c r="O13" s="5">
        <v>5</v>
      </c>
    </row>
    <row r="14" spans="2:15" x14ac:dyDescent="0.35">
      <c r="N14" s="2" t="s">
        <v>43</v>
      </c>
      <c r="O14" s="5">
        <v>2</v>
      </c>
    </row>
    <row r="15" spans="2:15" x14ac:dyDescent="0.35">
      <c r="N15" s="2" t="s">
        <v>52</v>
      </c>
      <c r="O15" s="5">
        <v>2</v>
      </c>
    </row>
    <row r="16" spans="2:15" x14ac:dyDescent="0.35">
      <c r="N16" s="2" t="s">
        <v>49</v>
      </c>
      <c r="O16" s="5">
        <v>4</v>
      </c>
    </row>
    <row r="17" spans="2:15" x14ac:dyDescent="0.35">
      <c r="N17" s="2" t="s">
        <v>25</v>
      </c>
      <c r="O17" s="5">
        <v>3</v>
      </c>
    </row>
    <row r="18" spans="2:15" x14ac:dyDescent="0.35">
      <c r="N18" s="2" t="s">
        <v>66</v>
      </c>
      <c r="O18" s="5">
        <v>36</v>
      </c>
    </row>
    <row r="22" spans="2:15" x14ac:dyDescent="0.35">
      <c r="B22" s="1" t="s">
        <v>65</v>
      </c>
      <c r="C22" t="s">
        <v>68</v>
      </c>
    </row>
    <row r="23" spans="2:15" x14ac:dyDescent="0.35">
      <c r="B23" s="2" t="s">
        <v>29</v>
      </c>
      <c r="C23" s="5">
        <v>127</v>
      </c>
    </row>
    <row r="24" spans="2:15" x14ac:dyDescent="0.35">
      <c r="B24" s="2" t="s">
        <v>33</v>
      </c>
      <c r="C24" s="5">
        <v>679</v>
      </c>
    </row>
    <row r="25" spans="2:15" x14ac:dyDescent="0.35">
      <c r="B25" s="2" t="s">
        <v>53</v>
      </c>
      <c r="C25" s="5">
        <v>480</v>
      </c>
    </row>
    <row r="26" spans="2:15" x14ac:dyDescent="0.35">
      <c r="B26" s="2" t="s">
        <v>38</v>
      </c>
      <c r="C26" s="5">
        <v>1362</v>
      </c>
    </row>
    <row r="27" spans="2:15" x14ac:dyDescent="0.35">
      <c r="B27" s="2" t="s">
        <v>15</v>
      </c>
      <c r="C27" s="5">
        <v>836</v>
      </c>
    </row>
    <row r="28" spans="2:15" x14ac:dyDescent="0.35">
      <c r="B28" s="2" t="s">
        <v>23</v>
      </c>
      <c r="C28" s="5">
        <v>1442</v>
      </c>
    </row>
    <row r="29" spans="2:15" x14ac:dyDescent="0.35">
      <c r="B29" s="2" t="s">
        <v>66</v>
      </c>
      <c r="C29" s="5">
        <v>4926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Dashboard</vt:lpstr>
      <vt:lpstr>Sheet2</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Ashutosh Raj</cp:lastModifiedBy>
  <dcterms:created xsi:type="dcterms:W3CDTF">2026-04-19T08:40:38Z</dcterms:created>
  <dcterms:modified xsi:type="dcterms:W3CDTF">2026-04-28T11:19:45Z</dcterms:modified>
</cp:coreProperties>
</file>